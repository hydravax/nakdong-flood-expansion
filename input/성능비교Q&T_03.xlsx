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RESEARCH\Nakdong\"/>
    </mc:Choice>
  </mc:AlternateContent>
  <xr:revisionPtr revIDLastSave="0" documentId="13_ncr:1_{548033C9-EE50-4A03-9771-129E4804206D}" xr6:coauthVersionLast="47" xr6:coauthVersionMax="47" xr10:uidLastSave="{00000000-0000-0000-0000-000000000000}"/>
  <bookViews>
    <workbookView xWindow="-28920" yWindow="9060" windowWidth="29040" windowHeight="15720" activeTab="1" xr2:uid="{00000000-000D-0000-FFFF-FFFF00000000}"/>
  </bookViews>
  <sheets>
    <sheet name="종합통계" sheetId="1" r:id="rId1"/>
    <sheet name="비교결과" sheetId="3" r:id="rId2"/>
    <sheet name="상세_비교결과" sheetId="2" r:id="rId3"/>
    <sheet name="Sheet1" sheetId="4" r:id="rId4"/>
    <sheet name="Sheet3" sheetId="6" r:id="rId5"/>
  </sheets>
  <definedNames>
    <definedName name="_xlnm._FilterDatabase" localSheetId="1" hidden="1">비교결과!$A$1:$AH$67</definedName>
    <definedName name="_xlnm._FilterDatabase" localSheetId="2" hidden="1">상세_비교결과!$A$2:$U$66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  <c r="F2" i="1"/>
  <c r="B2" i="1"/>
  <c r="C2" i="1"/>
  <c r="D2" i="1"/>
  <c r="A2" i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4" i="3"/>
  <c r="E48" i="3"/>
  <c r="E67" i="3"/>
  <c r="Z4" i="3"/>
  <c r="AB4" i="3"/>
  <c r="Z5" i="3"/>
  <c r="AB5" i="3"/>
  <c r="Z6" i="3"/>
  <c r="AB6" i="3"/>
  <c r="Z7" i="3"/>
  <c r="AB7" i="3"/>
  <c r="Z8" i="3"/>
  <c r="AB8" i="3"/>
  <c r="Z9" i="3"/>
  <c r="AB9" i="3"/>
  <c r="Z10" i="3"/>
  <c r="AB10" i="3"/>
  <c r="Z11" i="3"/>
  <c r="AB11" i="3"/>
  <c r="Z12" i="3"/>
  <c r="AB12" i="3"/>
  <c r="Z13" i="3"/>
  <c r="AB13" i="3"/>
  <c r="Z14" i="3"/>
  <c r="AB14" i="3"/>
  <c r="Z15" i="3"/>
  <c r="AB15" i="3"/>
  <c r="Z16" i="3"/>
  <c r="AB16" i="3"/>
  <c r="Z17" i="3"/>
  <c r="AB17" i="3"/>
  <c r="Z18" i="3"/>
  <c r="AB18" i="3"/>
  <c r="Z19" i="3"/>
  <c r="AB19" i="3"/>
  <c r="Z20" i="3"/>
  <c r="AB20" i="3"/>
  <c r="Z21" i="3"/>
  <c r="AB21" i="3"/>
  <c r="Z22" i="3"/>
  <c r="AB22" i="3"/>
  <c r="Z23" i="3"/>
  <c r="AB23" i="3"/>
  <c r="Z24" i="3"/>
  <c r="AB24" i="3"/>
  <c r="Z25" i="3"/>
  <c r="AB25" i="3"/>
  <c r="Z26" i="3"/>
  <c r="AB26" i="3"/>
  <c r="Z27" i="3"/>
  <c r="AB27" i="3"/>
  <c r="Z28" i="3"/>
  <c r="AB28" i="3"/>
  <c r="Z29" i="3"/>
  <c r="AB29" i="3"/>
  <c r="Z30" i="3"/>
  <c r="AB30" i="3"/>
  <c r="Z31" i="3"/>
  <c r="AB31" i="3"/>
  <c r="Z32" i="3"/>
  <c r="AB32" i="3"/>
  <c r="Z33" i="3"/>
  <c r="AB33" i="3"/>
  <c r="Z34" i="3"/>
  <c r="AB34" i="3"/>
  <c r="Z35" i="3"/>
  <c r="AB35" i="3"/>
  <c r="Z36" i="3"/>
  <c r="AB36" i="3"/>
  <c r="Z37" i="3"/>
  <c r="AB37" i="3"/>
  <c r="Z38" i="3"/>
  <c r="AB38" i="3"/>
  <c r="Z39" i="3"/>
  <c r="AB39" i="3"/>
  <c r="Z40" i="3"/>
  <c r="AB40" i="3"/>
  <c r="Z41" i="3"/>
  <c r="AB41" i="3"/>
  <c r="Z42" i="3"/>
  <c r="AB42" i="3"/>
  <c r="Z43" i="3"/>
  <c r="AB43" i="3"/>
  <c r="Z44" i="3"/>
  <c r="AB44" i="3"/>
  <c r="Z45" i="3"/>
  <c r="AB45" i="3"/>
  <c r="Z46" i="3"/>
  <c r="AB46" i="3"/>
  <c r="Z47" i="3"/>
  <c r="AB47" i="3"/>
  <c r="Z48" i="3"/>
  <c r="AB48" i="3"/>
  <c r="Z49" i="3"/>
  <c r="AB49" i="3"/>
  <c r="Z50" i="3"/>
  <c r="AB50" i="3"/>
  <c r="Z51" i="3"/>
  <c r="AB51" i="3"/>
  <c r="Z52" i="3"/>
  <c r="AB52" i="3"/>
  <c r="Z53" i="3"/>
  <c r="AB53" i="3"/>
  <c r="Z54" i="3"/>
  <c r="AB54" i="3"/>
  <c r="Z55" i="3"/>
  <c r="AB55" i="3"/>
  <c r="Z56" i="3"/>
  <c r="AB56" i="3"/>
  <c r="Z57" i="3"/>
  <c r="AB57" i="3"/>
  <c r="Z58" i="3"/>
  <c r="AB58" i="3"/>
  <c r="Z59" i="3"/>
  <c r="AB59" i="3"/>
  <c r="Z60" i="3"/>
  <c r="AB60" i="3"/>
  <c r="Z61" i="3"/>
  <c r="AB61" i="3"/>
  <c r="Z62" i="3"/>
  <c r="AB62" i="3"/>
  <c r="Z63" i="3"/>
  <c r="AB63" i="3"/>
  <c r="Z64" i="3"/>
  <c r="AB64" i="3"/>
  <c r="Z65" i="3"/>
  <c r="AB65" i="3"/>
  <c r="Z66" i="3"/>
  <c r="AB66" i="3"/>
  <c r="Z67" i="3"/>
  <c r="AB67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4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5" i="3"/>
  <c r="M6" i="3"/>
  <c r="M7" i="3"/>
  <c r="M8" i="3"/>
  <c r="M9" i="3"/>
  <c r="M10" i="3"/>
  <c r="M11" i="3"/>
  <c r="M12" i="3"/>
  <c r="M13" i="3"/>
  <c r="M14" i="3"/>
  <c r="M15" i="3"/>
  <c r="E15" i="3" s="1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E35" i="3" s="1"/>
  <c r="M36" i="3"/>
  <c r="M37" i="3"/>
  <c r="M38" i="3"/>
  <c r="M39" i="3"/>
  <c r="M40" i="3"/>
  <c r="M41" i="3"/>
  <c r="M42" i="3"/>
  <c r="M43" i="3"/>
  <c r="M44" i="3"/>
  <c r="M45" i="3"/>
  <c r="M46" i="3"/>
  <c r="M47" i="3"/>
  <c r="M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4" i="3"/>
  <c r="F58" i="3" l="1"/>
  <c r="F38" i="3"/>
  <c r="F18" i="3"/>
  <c r="E66" i="3"/>
  <c r="E51" i="3"/>
  <c r="F17" i="3"/>
  <c r="E56" i="3"/>
  <c r="E53" i="3"/>
  <c r="G2" i="1"/>
  <c r="E64" i="3"/>
  <c r="F53" i="3"/>
  <c r="F33" i="3"/>
  <c r="F13" i="3"/>
  <c r="E57" i="3"/>
  <c r="F4" i="3"/>
  <c r="F48" i="3"/>
  <c r="F28" i="3"/>
  <c r="F8" i="3"/>
  <c r="F66" i="3"/>
  <c r="F46" i="3"/>
  <c r="F26" i="3"/>
  <c r="F6" i="3"/>
  <c r="E54" i="3"/>
  <c r="F65" i="3"/>
  <c r="F45" i="3"/>
  <c r="F25" i="3"/>
  <c r="F5" i="3"/>
  <c r="F60" i="3"/>
  <c r="E49" i="3"/>
  <c r="F40" i="3"/>
  <c r="F20" i="3"/>
  <c r="E43" i="3"/>
  <c r="E61" i="3"/>
  <c r="F52" i="3"/>
  <c r="F32" i="3"/>
  <c r="F12" i="3"/>
  <c r="E55" i="3"/>
  <c r="E14" i="3"/>
  <c r="E13" i="3"/>
  <c r="F44" i="3"/>
  <c r="F59" i="3"/>
  <c r="F35" i="3"/>
  <c r="E4" i="3"/>
  <c r="F55" i="3"/>
  <c r="E23" i="3"/>
  <c r="F15" i="3"/>
  <c r="E38" i="3"/>
  <c r="E18" i="3"/>
  <c r="E34" i="3"/>
  <c r="E33" i="3"/>
  <c r="F64" i="3"/>
  <c r="E52" i="3"/>
  <c r="F63" i="3"/>
  <c r="F43" i="3"/>
  <c r="F23" i="3"/>
  <c r="F24" i="3"/>
  <c r="E16" i="3"/>
  <c r="F67" i="3"/>
  <c r="F47" i="3"/>
  <c r="F27" i="3"/>
  <c r="F7" i="3"/>
  <c r="E32" i="3"/>
  <c r="E12" i="3"/>
  <c r="E11" i="3"/>
  <c r="F22" i="3"/>
  <c r="F42" i="3"/>
  <c r="E50" i="3"/>
  <c r="E29" i="3"/>
  <c r="E9" i="3"/>
  <c r="F61" i="3"/>
  <c r="F41" i="3"/>
  <c r="F21" i="3"/>
  <c r="E30" i="3"/>
  <c r="E28" i="3"/>
  <c r="E8" i="3"/>
  <c r="E31" i="3"/>
  <c r="E10" i="3"/>
  <c r="F62" i="3"/>
  <c r="E47" i="3"/>
  <c r="E27" i="3"/>
  <c r="E7" i="3"/>
  <c r="F39" i="3"/>
  <c r="F19" i="3"/>
  <c r="E26" i="3"/>
  <c r="E5" i="3"/>
  <c r="E25" i="3"/>
  <c r="E65" i="3"/>
  <c r="E44" i="3"/>
  <c r="E24" i="3"/>
  <c r="F56" i="3"/>
  <c r="F36" i="3"/>
  <c r="F16" i="3"/>
  <c r="E6" i="3"/>
  <c r="F37" i="3"/>
  <c r="E46" i="3"/>
  <c r="E45" i="3"/>
  <c r="F57" i="3"/>
  <c r="E63" i="3"/>
  <c r="E42" i="3"/>
  <c r="E22" i="3"/>
  <c r="F54" i="3"/>
  <c r="F34" i="3"/>
  <c r="F14" i="3"/>
  <c r="E62" i="3"/>
  <c r="E41" i="3"/>
  <c r="E21" i="3"/>
  <c r="E40" i="3"/>
  <c r="E20" i="3"/>
  <c r="E60" i="3"/>
  <c r="E39" i="3"/>
  <c r="E19" i="3"/>
  <c r="F51" i="3"/>
  <c r="F31" i="3"/>
  <c r="F11" i="3"/>
  <c r="F50" i="3"/>
  <c r="F10" i="3"/>
  <c r="F30" i="3"/>
  <c r="E59" i="3"/>
  <c r="E58" i="3"/>
  <c r="E37" i="3"/>
  <c r="E17" i="3"/>
  <c r="F49" i="3"/>
  <c r="F29" i="3"/>
  <c r="F9" i="3"/>
  <c r="E36" i="3"/>
</calcChain>
</file>

<file path=xl/sharedStrings.xml><?xml version="1.0" encoding="utf-8"?>
<sst xmlns="http://schemas.openxmlformats.org/spreadsheetml/2006/main" count="3168" uniqueCount="1027">
  <si>
    <t>개선</t>
  </si>
  <si>
    <t>부분개선</t>
  </si>
  <si>
    <t>변화없음</t>
  </si>
  <si>
    <t>불가</t>
  </si>
  <si>
    <t>총 지점수</t>
  </si>
  <si>
    <t>유역</t>
  </si>
  <si>
    <t>하천</t>
  </si>
  <si>
    <t>지점</t>
  </si>
  <si>
    <t>종합판정</t>
  </si>
  <si>
    <t>상세내용</t>
  </si>
  <si>
    <t>Peak_Obs(2023년)</t>
  </si>
  <si>
    <t>보정전_Peak_Fore(2023년)</t>
  </si>
  <si>
    <t>보정전_Peak_Diff(2023년)</t>
  </si>
  <si>
    <t>보정후_Peak_Fore(2023년)</t>
  </si>
  <si>
    <t>보정후_Peak_Diff(2023년)</t>
  </si>
  <si>
    <t>보정전_Time_Diff(2023년)</t>
  </si>
  <si>
    <t>보정후_Time_Diff(2023년)</t>
  </si>
  <si>
    <t>개선여부(2023년)</t>
  </si>
  <si>
    <t>Peak_Obs(2024년)</t>
  </si>
  <si>
    <t>보정전_Peak_Fore(2024년)</t>
  </si>
  <si>
    <t>보정전_Peak_Diff(2024년)</t>
  </si>
  <si>
    <t>보정후_Peak_Fore(2024년)</t>
  </si>
  <si>
    <t>보정후_Peak_Diff(2024년)</t>
  </si>
  <si>
    <t>보정전_Time_Diff(2024년)</t>
  </si>
  <si>
    <t>보정후_Time_Diff(2024년)</t>
  </si>
  <si>
    <t>개선여부(2024년)</t>
  </si>
  <si>
    <t>낙동강</t>
  </si>
  <si>
    <t>감천</t>
  </si>
  <si>
    <t>김천시(김천교)</t>
  </si>
  <si>
    <t>한 연도 개선, 한 연도 부분개선</t>
  </si>
  <si>
    <t>383.57</t>
  </si>
  <si>
    <t>404.62</t>
  </si>
  <si>
    <t>5.49</t>
  </si>
  <si>
    <t>233.24</t>
  </si>
  <si>
    <t>-39.19</t>
  </si>
  <si>
    <t>-90</t>
  </si>
  <si>
    <t>-60</t>
  </si>
  <si>
    <t>220.67</t>
  </si>
  <si>
    <t>489.41</t>
  </si>
  <si>
    <t>121.78</t>
  </si>
  <si>
    <t>241.07</t>
  </si>
  <si>
    <t>9.24</t>
  </si>
  <si>
    <t>-220</t>
  </si>
  <si>
    <t>-160</t>
  </si>
  <si>
    <t>금천</t>
  </si>
  <si>
    <t>예천군(산양교)</t>
  </si>
  <si>
    <t>748.17</t>
  </si>
  <si>
    <t>1158.72</t>
  </si>
  <si>
    <t>54.87</t>
  </si>
  <si>
    <t>1146.41</t>
  </si>
  <si>
    <t>53.23</t>
  </si>
  <si>
    <t>-140</t>
  </si>
  <si>
    <t>-110</t>
  </si>
  <si>
    <t>102.08</t>
  </si>
  <si>
    <t>98.14</t>
  </si>
  <si>
    <t>-3.86</t>
  </si>
  <si>
    <t>97.84</t>
  </si>
  <si>
    <t>-4.15</t>
  </si>
  <si>
    <t>-70</t>
  </si>
  <si>
    <t>-30</t>
  </si>
  <si>
    <t>금호강</t>
  </si>
  <si>
    <t>대구시(신암동)</t>
  </si>
  <si>
    <t>2023년: 불가, 2024년: 부분개선</t>
  </si>
  <si>
    <t>1608.74</t>
  </si>
  <si>
    <t>1443.98</t>
  </si>
  <si>
    <t>-10.24</t>
  </si>
  <si>
    <t>1197.42</t>
  </si>
  <si>
    <t>-25.57</t>
  </si>
  <si>
    <t>-280</t>
  </si>
  <si>
    <t>165.74</t>
  </si>
  <si>
    <t>897.09</t>
  </si>
  <si>
    <t>441.26</t>
  </si>
  <si>
    <t>655.52</t>
  </si>
  <si>
    <t>295.51</t>
  </si>
  <si>
    <t>210</t>
  </si>
  <si>
    <t>270</t>
  </si>
  <si>
    <t>영천시(금창교)</t>
  </si>
  <si>
    <t>2023년: 불가, 2024년: 불가</t>
  </si>
  <si>
    <t>1184.60</t>
  </si>
  <si>
    <t>923.23</t>
  </si>
  <si>
    <t>-22.06</t>
  </si>
  <si>
    <t>826.52</t>
  </si>
  <si>
    <t>-30.23</t>
  </si>
  <si>
    <t>-40</t>
  </si>
  <si>
    <t>-50</t>
  </si>
  <si>
    <t>396.00</t>
  </si>
  <si>
    <t>387.57</t>
  </si>
  <si>
    <t>-2.13</t>
  </si>
  <si>
    <t>369.72</t>
  </si>
  <si>
    <t>-6.64</t>
  </si>
  <si>
    <t>-580</t>
  </si>
  <si>
    <t>-590</t>
  </si>
  <si>
    <t>영천시(영동교)</t>
  </si>
  <si>
    <t>603.69</t>
  </si>
  <si>
    <t>418.76</t>
  </si>
  <si>
    <t>-30.63</t>
  </si>
  <si>
    <t>340.30</t>
  </si>
  <si>
    <t>-43.63</t>
  </si>
  <si>
    <t>120</t>
  </si>
  <si>
    <t>8.89</t>
  </si>
  <si>
    <t>92.41</t>
  </si>
  <si>
    <t>939.48</t>
  </si>
  <si>
    <t>44.08</t>
  </si>
  <si>
    <t>395.84</t>
  </si>
  <si>
    <t>14570</t>
  </si>
  <si>
    <t>14140</t>
  </si>
  <si>
    <t>길안천</t>
  </si>
  <si>
    <t>안동시(묵계교)</t>
  </si>
  <si>
    <t>2023, 2024 모두 개선</t>
  </si>
  <si>
    <t>732.24</t>
  </si>
  <si>
    <t>1061.86</t>
  </si>
  <si>
    <t>45.02</t>
  </si>
  <si>
    <t>734.45</t>
  </si>
  <si>
    <t>0.30</t>
  </si>
  <si>
    <t>-170</t>
  </si>
  <si>
    <t>60</t>
  </si>
  <si>
    <t>595.05</t>
  </si>
  <si>
    <t>821.83</t>
  </si>
  <si>
    <t>38.11</t>
  </si>
  <si>
    <t>615.88</t>
  </si>
  <si>
    <t>3.50</t>
  </si>
  <si>
    <t>-80</t>
  </si>
  <si>
    <t>대구시(성하리)</t>
  </si>
  <si>
    <t>조정제외(낙동강본류)</t>
  </si>
  <si>
    <t>8906.62</t>
  </si>
  <si>
    <t>11891.00</t>
  </si>
  <si>
    <t>33.51</t>
  </si>
  <si>
    <t>10729.75</t>
  </si>
  <si>
    <t>20.47</t>
  </si>
  <si>
    <t>3910</t>
  </si>
  <si>
    <t>3960</t>
  </si>
  <si>
    <t>3767.40</t>
  </si>
  <si>
    <t>7779.58</t>
  </si>
  <si>
    <t>106.50</t>
  </si>
  <si>
    <t>6945.89</t>
  </si>
  <si>
    <t>84.37</t>
  </si>
  <si>
    <t>-1120</t>
  </si>
  <si>
    <t>-1110</t>
  </si>
  <si>
    <t>밀양시(삼랑진교)</t>
  </si>
  <si>
    <t>8791.78</t>
  </si>
  <si>
    <t>19819.79</t>
  </si>
  <si>
    <t>125.44</t>
  </si>
  <si>
    <t>17073.09</t>
  </si>
  <si>
    <t>94.19</t>
  </si>
  <si>
    <t>2350</t>
  </si>
  <si>
    <t>2340</t>
  </si>
  <si>
    <t>5976.70</t>
  </si>
  <si>
    <t>13951.47</t>
  </si>
  <si>
    <t>133.43</t>
  </si>
  <si>
    <t>11927.53</t>
  </si>
  <si>
    <t>99.57</t>
  </si>
  <si>
    <t>-1100</t>
  </si>
  <si>
    <t>-1090</t>
  </si>
  <si>
    <t>봉화군(분천교)</t>
  </si>
  <si>
    <t>953.21</t>
  </si>
  <si>
    <t>1541.97</t>
  </si>
  <si>
    <t>61.77</t>
  </si>
  <si>
    <t>1118.51</t>
  </si>
  <si>
    <t>17.34</t>
  </si>
  <si>
    <t>-320</t>
  </si>
  <si>
    <t>-290</t>
  </si>
  <si>
    <t>448.13</t>
  </si>
  <si>
    <t>742.58</t>
  </si>
  <si>
    <t>65.71</t>
  </si>
  <si>
    <t>457.47</t>
  </si>
  <si>
    <t>2.08</t>
  </si>
  <si>
    <t>-250</t>
  </si>
  <si>
    <t>-210</t>
  </si>
  <si>
    <t>부산시(구포대교)</t>
  </si>
  <si>
    <t>조정제외(조석영향)</t>
  </si>
  <si>
    <t>8684.15</t>
  </si>
  <si>
    <t>20731.42</t>
  </si>
  <si>
    <t>138.73</t>
  </si>
  <si>
    <t>17956.73</t>
  </si>
  <si>
    <t>106.78</t>
  </si>
  <si>
    <t>2780</t>
  </si>
  <si>
    <t>2770</t>
  </si>
  <si>
    <t>7244.71</t>
  </si>
  <si>
    <t>15745.42</t>
  </si>
  <si>
    <t>117.34</t>
  </si>
  <si>
    <t>13715.59</t>
  </si>
  <si>
    <t>89.32</t>
  </si>
  <si>
    <t>-940</t>
  </si>
  <si>
    <t>-930</t>
  </si>
  <si>
    <t>예천군(구담교)</t>
  </si>
  <si>
    <t>3471.54</t>
  </si>
  <si>
    <t>3019.53</t>
  </si>
  <si>
    <t>-13.02</t>
  </si>
  <si>
    <t>2713.49</t>
  </si>
  <si>
    <t>-21.84</t>
  </si>
  <si>
    <t>3560</t>
  </si>
  <si>
    <t>3580</t>
  </si>
  <si>
    <t>1494.29</t>
  </si>
  <si>
    <t>1587.98</t>
  </si>
  <si>
    <t>6.27</t>
  </si>
  <si>
    <t>1368.59</t>
  </si>
  <si>
    <t>-8.41</t>
  </si>
  <si>
    <t>-740</t>
  </si>
  <si>
    <t>-680</t>
  </si>
  <si>
    <t>예천군(상풍교)</t>
  </si>
  <si>
    <t>7887.18</t>
  </si>
  <si>
    <t>8818.24</t>
  </si>
  <si>
    <t>11.80</t>
  </si>
  <si>
    <t>8125.72</t>
  </si>
  <si>
    <t>3.02</t>
  </si>
  <si>
    <t>-270</t>
  </si>
  <si>
    <t>2130.66</t>
  </si>
  <si>
    <t>3449.89</t>
  </si>
  <si>
    <t>61.92</t>
  </si>
  <si>
    <t>2939.62</t>
  </si>
  <si>
    <t>37.97</t>
  </si>
  <si>
    <t>-920</t>
  </si>
  <si>
    <t>-870</t>
  </si>
  <si>
    <t>의성군(낙단교)</t>
  </si>
  <si>
    <t>7836.36</t>
  </si>
  <si>
    <t>9613.39</t>
  </si>
  <si>
    <t>22.68</t>
  </si>
  <si>
    <t>8897.37</t>
  </si>
  <si>
    <t>13.54</t>
  </si>
  <si>
    <t>-480</t>
  </si>
  <si>
    <t>-460</t>
  </si>
  <si>
    <t>3272.73</t>
  </si>
  <si>
    <t>5093.54</t>
  </si>
  <si>
    <t>55.64</t>
  </si>
  <si>
    <t>4473.67</t>
  </si>
  <si>
    <t>36.70</t>
  </si>
  <si>
    <t>-1060</t>
  </si>
  <si>
    <t>-1040</t>
  </si>
  <si>
    <t>칠곡군(호국의다리)</t>
  </si>
  <si>
    <t>8154.59</t>
  </si>
  <si>
    <t>9881.17</t>
  </si>
  <si>
    <t>21.17</t>
  </si>
  <si>
    <t>9166.36</t>
  </si>
  <si>
    <t>12.41</t>
  </si>
  <si>
    <t>-910</t>
  </si>
  <si>
    <t>2578.70</t>
  </si>
  <si>
    <t>6152.50</t>
  </si>
  <si>
    <t>138.59</t>
  </si>
  <si>
    <t>5473.97</t>
  </si>
  <si>
    <t>112.28</t>
  </si>
  <si>
    <t>-260</t>
  </si>
  <si>
    <t>-240</t>
  </si>
  <si>
    <t>함안군(계내리)</t>
  </si>
  <si>
    <t>7401.19</t>
  </si>
  <si>
    <t>17401.06</t>
  </si>
  <si>
    <t>135.11</t>
  </si>
  <si>
    <t>15022.02</t>
  </si>
  <si>
    <t>102.97</t>
  </si>
  <si>
    <t>3200</t>
  </si>
  <si>
    <t>3220</t>
  </si>
  <si>
    <t>5072.42</t>
  </si>
  <si>
    <t>11217.18</t>
  </si>
  <si>
    <t>121.14</t>
  </si>
  <si>
    <t>9500.16</t>
  </si>
  <si>
    <t>87.29</t>
  </si>
  <si>
    <t>-1260</t>
  </si>
  <si>
    <t>-1250</t>
  </si>
  <si>
    <t>합천군(적포교)</t>
  </si>
  <si>
    <t>8244.56</t>
  </si>
  <si>
    <t>14999.14</t>
  </si>
  <si>
    <t>81.93</t>
  </si>
  <si>
    <t>12920.78</t>
  </si>
  <si>
    <t>56.72</t>
  </si>
  <si>
    <t>3610</t>
  </si>
  <si>
    <t>3620</t>
  </si>
  <si>
    <t>4563.87</t>
  </si>
  <si>
    <t>8647.73</t>
  </si>
  <si>
    <t>89.48</t>
  </si>
  <si>
    <t>7615.15</t>
  </si>
  <si>
    <t>66.86</t>
  </si>
  <si>
    <t>-1280</t>
  </si>
  <si>
    <t>-1270</t>
  </si>
  <si>
    <t>남강</t>
  </si>
  <si>
    <t>산청군(경호교)</t>
  </si>
  <si>
    <t>2023년: 부분개선, 2024년: 불가</t>
  </si>
  <si>
    <t>2316.51</t>
  </si>
  <si>
    <t>2011.40</t>
  </si>
  <si>
    <t>-13.17</t>
  </si>
  <si>
    <t>1949.99</t>
  </si>
  <si>
    <t>-15.82</t>
  </si>
  <si>
    <t>-150</t>
  </si>
  <si>
    <t>-130</t>
  </si>
  <si>
    <t>701.22</t>
  </si>
  <si>
    <t>737.60</t>
  </si>
  <si>
    <t>5.19</t>
  </si>
  <si>
    <t>741.96</t>
  </si>
  <si>
    <t>5.81</t>
  </si>
  <si>
    <t>-400</t>
  </si>
  <si>
    <t>의령군(정암교)</t>
  </si>
  <si>
    <t>1337.33</t>
  </si>
  <si>
    <t>1907.98</t>
  </si>
  <si>
    <t>42.67</t>
  </si>
  <si>
    <t>1408.29</t>
  </si>
  <si>
    <t>5.31</t>
  </si>
  <si>
    <t>-500</t>
  </si>
  <si>
    <t>1387.55</t>
  </si>
  <si>
    <t>2565.36</t>
  </si>
  <si>
    <t>84.88</t>
  </si>
  <si>
    <t>1713.74</t>
  </si>
  <si>
    <t>23.51</t>
  </si>
  <si>
    <t>-430</t>
  </si>
  <si>
    <t>-420</t>
  </si>
  <si>
    <t>함양군(안의교)</t>
  </si>
  <si>
    <t>2023년: 변화없음, 2024년: 불가</t>
  </si>
  <si>
    <t>45.44</t>
  </si>
  <si>
    <t>296.12</t>
  </si>
  <si>
    <t>551.67</t>
  </si>
  <si>
    <t>11690</t>
  </si>
  <si>
    <t>0.00</t>
  </si>
  <si>
    <t>235.53</t>
  </si>
  <si>
    <t>22400</t>
  </si>
  <si>
    <t>내성천</t>
  </si>
  <si>
    <t>봉화군(봉화대교)</t>
  </si>
  <si>
    <t>2023년: 불가, 2024년: 개선</t>
  </si>
  <si>
    <t>851.51</t>
  </si>
  <si>
    <t>548.63</t>
  </si>
  <si>
    <t>-35.57</t>
  </si>
  <si>
    <t>525.66</t>
  </si>
  <si>
    <t>-38.27</t>
  </si>
  <si>
    <t>60.08</t>
  </si>
  <si>
    <t>123.00</t>
  </si>
  <si>
    <t>104.73</t>
  </si>
  <si>
    <t>113.75</t>
  </si>
  <si>
    <t>89.33</t>
  </si>
  <si>
    <t>-20</t>
  </si>
  <si>
    <t>예천군(회룡교)</t>
  </si>
  <si>
    <t>3016.21</t>
  </si>
  <si>
    <t>3598.49</t>
  </si>
  <si>
    <t>19.31</t>
  </si>
  <si>
    <t>3015.01</t>
  </si>
  <si>
    <t>-0.04</t>
  </si>
  <si>
    <t>-190</t>
  </si>
  <si>
    <t>388.09</t>
  </si>
  <si>
    <t>708.05</t>
  </si>
  <si>
    <t>82.44</t>
  </si>
  <si>
    <t>499.52</t>
  </si>
  <si>
    <t>28.71</t>
  </si>
  <si>
    <t>-840</t>
  </si>
  <si>
    <t>-560</t>
  </si>
  <si>
    <t>단장천</t>
  </si>
  <si>
    <t>밀양시(금곡리)</t>
  </si>
  <si>
    <t>255.34</t>
  </si>
  <si>
    <t>535.41</t>
  </si>
  <si>
    <t>109.69</t>
  </si>
  <si>
    <t>214.44</t>
  </si>
  <si>
    <t>-16.02</t>
  </si>
  <si>
    <t>-2680</t>
  </si>
  <si>
    <t>200.12</t>
  </si>
  <si>
    <t>490.55</t>
  </si>
  <si>
    <t>145.13</t>
  </si>
  <si>
    <t>215.48</t>
  </si>
  <si>
    <t>7.68</t>
  </si>
  <si>
    <t>동창천</t>
  </si>
  <si>
    <t>청도군(매전교)</t>
  </si>
  <si>
    <t>1309.23</t>
  </si>
  <si>
    <t>134.90</t>
  </si>
  <si>
    <t>-89.70</t>
  </si>
  <si>
    <t>165.30</t>
  </si>
  <si>
    <t>-87.37</t>
  </si>
  <si>
    <t>1212.63</t>
  </si>
  <si>
    <t>106.27</t>
  </si>
  <si>
    <t>-91.24</t>
  </si>
  <si>
    <t>117.72</t>
  </si>
  <si>
    <t>-90.29</t>
  </si>
  <si>
    <t>미천</t>
  </si>
  <si>
    <t>안동시(운산리)</t>
  </si>
  <si>
    <t>654.42</t>
  </si>
  <si>
    <t>283.00</t>
  </si>
  <si>
    <t>-56.76</t>
  </si>
  <si>
    <t>175.58</t>
  </si>
  <si>
    <t>-73.17</t>
  </si>
  <si>
    <t>80</t>
  </si>
  <si>
    <t>209.48</t>
  </si>
  <si>
    <t>320.85</t>
  </si>
  <si>
    <t>53.16</t>
  </si>
  <si>
    <t>235.29</t>
  </si>
  <si>
    <t>12.32</t>
  </si>
  <si>
    <t>40</t>
  </si>
  <si>
    <t>밀양강</t>
  </si>
  <si>
    <t>밀양시(용평동)</t>
  </si>
  <si>
    <t>1202.80</t>
  </si>
  <si>
    <t>1386.87</t>
  </si>
  <si>
    <t>15.30</t>
  </si>
  <si>
    <t>937.54</t>
  </si>
  <si>
    <t>-22.05</t>
  </si>
  <si>
    <t>140</t>
  </si>
  <si>
    <t>0</t>
  </si>
  <si>
    <t>1050.99</t>
  </si>
  <si>
    <t>96.30</t>
  </si>
  <si>
    <t>608.34</t>
  </si>
  <si>
    <t>13.62</t>
  </si>
  <si>
    <t>반변천</t>
  </si>
  <si>
    <t>영양군(청암교)</t>
  </si>
  <si>
    <t>920.75</t>
  </si>
  <si>
    <t>1226.01</t>
  </si>
  <si>
    <t>33.15</t>
  </si>
  <si>
    <t>962.49</t>
  </si>
  <si>
    <t>4.53</t>
  </si>
  <si>
    <t>278.72</t>
  </si>
  <si>
    <t>348.12</t>
  </si>
  <si>
    <t>24.90</t>
  </si>
  <si>
    <t>294.48</t>
  </si>
  <si>
    <t>5.65</t>
  </si>
  <si>
    <t>병성천</t>
  </si>
  <si>
    <t>상주시(화계교)</t>
  </si>
  <si>
    <t>207.23</t>
  </si>
  <si>
    <t>166.95</t>
  </si>
  <si>
    <t>-19.44</t>
  </si>
  <si>
    <t>146.44</t>
  </si>
  <si>
    <t>-29.33</t>
  </si>
  <si>
    <t>50</t>
  </si>
  <si>
    <t>144.94</t>
  </si>
  <si>
    <t>176.52</t>
  </si>
  <si>
    <t>21.79</t>
  </si>
  <si>
    <t>159.09</t>
  </si>
  <si>
    <t>9.76</t>
  </si>
  <si>
    <t>130</t>
  </si>
  <si>
    <t>북천</t>
  </si>
  <si>
    <t>상주시(후천교)</t>
  </si>
  <si>
    <t>350.67</t>
  </si>
  <si>
    <t>228.44</t>
  </si>
  <si>
    <t>-34.86</t>
  </si>
  <si>
    <t>239.01</t>
  </si>
  <si>
    <t>-31.84</t>
  </si>
  <si>
    <t>150</t>
  </si>
  <si>
    <t>167.93</t>
  </si>
  <si>
    <t>149.99</t>
  </si>
  <si>
    <t>-10.68</t>
  </si>
  <si>
    <t>162.39</t>
  </si>
  <si>
    <t>-3.30</t>
  </si>
  <si>
    <t>-10</t>
  </si>
  <si>
    <t>서천</t>
  </si>
  <si>
    <t>영주시(월호교)</t>
  </si>
  <si>
    <t>1201.89</t>
  </si>
  <si>
    <t>1393.41</t>
  </si>
  <si>
    <t>15.93</t>
  </si>
  <si>
    <t>1384.93</t>
  </si>
  <si>
    <t>15.23</t>
  </si>
  <si>
    <t>327.89</t>
  </si>
  <si>
    <t>290.88</t>
  </si>
  <si>
    <t>-11.29</t>
  </si>
  <si>
    <t>290.55</t>
  </si>
  <si>
    <t>-11.39</t>
  </si>
  <si>
    <t>신천</t>
  </si>
  <si>
    <t>대구시(성북교)</t>
  </si>
  <si>
    <t>2023, 2024 모두 변화없음 (매개변수 조정 불필요)</t>
  </si>
  <si>
    <t>349.28</t>
  </si>
  <si>
    <t>542.10</t>
  </si>
  <si>
    <t>55.20</t>
  </si>
  <si>
    <t>-100</t>
  </si>
  <si>
    <t>181.13</t>
  </si>
  <si>
    <t>208.95</t>
  </si>
  <si>
    <t>15.36</t>
  </si>
  <si>
    <t>16380</t>
  </si>
  <si>
    <t>쌍계천</t>
  </si>
  <si>
    <t>의성군(덕은교)</t>
  </si>
  <si>
    <t>489.46</t>
  </si>
  <si>
    <t>319.63</t>
  </si>
  <si>
    <t>-34.70</t>
  </si>
  <si>
    <t>431.81</t>
  </si>
  <si>
    <t>-11.78</t>
  </si>
  <si>
    <t>459.97</t>
  </si>
  <si>
    <t>233.58</t>
  </si>
  <si>
    <t>-49.22</t>
  </si>
  <si>
    <t>382.30</t>
  </si>
  <si>
    <t>-16.89</t>
  </si>
  <si>
    <t>260</t>
  </si>
  <si>
    <t>안림천</t>
  </si>
  <si>
    <t>고령군(귀원교)</t>
  </si>
  <si>
    <t>815.22</t>
  </si>
  <si>
    <t>915.66</t>
  </si>
  <si>
    <t>722.89</t>
  </si>
  <si>
    <t>-11.33</t>
  </si>
  <si>
    <t>111.04</t>
  </si>
  <si>
    <t>161.50</t>
  </si>
  <si>
    <t>137.84</t>
  </si>
  <si>
    <t>24.14</t>
  </si>
  <si>
    <t>-180</t>
  </si>
  <si>
    <t>양산천</t>
  </si>
  <si>
    <t>양산시(양산교)</t>
  </si>
  <si>
    <t>341.66</t>
  </si>
  <si>
    <t>688.93</t>
  </si>
  <si>
    <t>101.64</t>
  </si>
  <si>
    <t>584.08</t>
  </si>
  <si>
    <t>70.95</t>
  </si>
  <si>
    <t>-230</t>
  </si>
  <si>
    <t>642.99</t>
  </si>
  <si>
    <t>723.83</t>
  </si>
  <si>
    <t>12.57</t>
  </si>
  <si>
    <t>676.53</t>
  </si>
  <si>
    <t>5.22</t>
  </si>
  <si>
    <t>19.93</t>
  </si>
  <si>
    <t>영강</t>
  </si>
  <si>
    <t>문경시(김용리)</t>
  </si>
  <si>
    <t>2349.37</t>
  </si>
  <si>
    <t>2378.18</t>
  </si>
  <si>
    <t>1.23</t>
  </si>
  <si>
    <t>2386.92</t>
  </si>
  <si>
    <t>1.60</t>
  </si>
  <si>
    <t>632.82</t>
  </si>
  <si>
    <t>626.06</t>
  </si>
  <si>
    <t>-1.07</t>
  </si>
  <si>
    <t>630.59</t>
  </si>
  <si>
    <t>-0.35</t>
  </si>
  <si>
    <t>영천강</t>
  </si>
  <si>
    <t>진주시(옥산교)</t>
  </si>
  <si>
    <t>2023, 2024 모두 부분개선</t>
  </si>
  <si>
    <t>506.66</t>
  </si>
  <si>
    <t>390.44</t>
  </si>
  <si>
    <t>-22.94</t>
  </si>
  <si>
    <t>570.49</t>
  </si>
  <si>
    <t>12.60</t>
  </si>
  <si>
    <t>1032.16</t>
  </si>
  <si>
    <t>735.76</t>
  </si>
  <si>
    <t>-28.72</t>
  </si>
  <si>
    <t>927.94</t>
  </si>
  <si>
    <t>-10.10</t>
  </si>
  <si>
    <t>오목천</t>
  </si>
  <si>
    <t>경산시(압량교)</t>
  </si>
  <si>
    <t>253.49</t>
  </si>
  <si>
    <t>147.57</t>
  </si>
  <si>
    <t>-41.78</t>
  </si>
  <si>
    <t>147.65</t>
  </si>
  <si>
    <t>-41.75</t>
  </si>
  <si>
    <t>89.89</t>
  </si>
  <si>
    <t>89.71</t>
  </si>
  <si>
    <t>-0.20</t>
  </si>
  <si>
    <t>89.75</t>
  </si>
  <si>
    <t>-0.16</t>
  </si>
  <si>
    <t>위천</t>
  </si>
  <si>
    <t>군위군(무성리)</t>
  </si>
  <si>
    <t>696.22</t>
  </si>
  <si>
    <t>768.04</t>
  </si>
  <si>
    <t>10.32</t>
  </si>
  <si>
    <t>517.78</t>
  </si>
  <si>
    <t>484.57</t>
  </si>
  <si>
    <t>-6.41</t>
  </si>
  <si>
    <t>280</t>
  </si>
  <si>
    <t>의성군(장송교)</t>
  </si>
  <si>
    <t>1586.45</t>
  </si>
  <si>
    <t>1847.53</t>
  </si>
  <si>
    <t>16.46</t>
  </si>
  <si>
    <t>1677.00</t>
  </si>
  <si>
    <t>5.71</t>
  </si>
  <si>
    <t>950.70</t>
  </si>
  <si>
    <t>1167.86</t>
  </si>
  <si>
    <t>22.84</t>
  </si>
  <si>
    <t>1019.49</t>
  </si>
  <si>
    <t>7.24</t>
  </si>
  <si>
    <t>의령천</t>
  </si>
  <si>
    <t>의령군(공단교)</t>
  </si>
  <si>
    <t>231.98</t>
  </si>
  <si>
    <t>267.96</t>
  </si>
  <si>
    <t>15.51</t>
  </si>
  <si>
    <t>191.21</t>
  </si>
  <si>
    <t>-17.57</t>
  </si>
  <si>
    <t>166.28</t>
  </si>
  <si>
    <t>226.34</t>
  </si>
  <si>
    <t>36.12</t>
  </si>
  <si>
    <t>194.38</t>
  </si>
  <si>
    <t>16.90</t>
  </si>
  <si>
    <t>이안천</t>
  </si>
  <si>
    <t>상주시(이안교)</t>
  </si>
  <si>
    <t>546.69</t>
  </si>
  <si>
    <t>465.22</t>
  </si>
  <si>
    <t>-14.90</t>
  </si>
  <si>
    <t>410.76</t>
  </si>
  <si>
    <t>-24.86</t>
  </si>
  <si>
    <t>500</t>
  </si>
  <si>
    <t>119.81</t>
  </si>
  <si>
    <t>165.29</t>
  </si>
  <si>
    <t>37.96</t>
  </si>
  <si>
    <t>130.64</t>
  </si>
  <si>
    <t>9.04</t>
  </si>
  <si>
    <t>-340</t>
  </si>
  <si>
    <t>임천</t>
  </si>
  <si>
    <t>함양군(화촌리)</t>
  </si>
  <si>
    <t>1540.77</t>
  </si>
  <si>
    <t>1284.80</t>
  </si>
  <si>
    <t>-16.61</t>
  </si>
  <si>
    <t>1193.97</t>
  </si>
  <si>
    <t>-22.51</t>
  </si>
  <si>
    <t>409.82</t>
  </si>
  <si>
    <t>412.01</t>
  </si>
  <si>
    <t>0.53</t>
  </si>
  <si>
    <t>407.08</t>
  </si>
  <si>
    <t>-0.67</t>
  </si>
  <si>
    <t>-1720</t>
  </si>
  <si>
    <t>-1670</t>
  </si>
  <si>
    <t>자호천</t>
  </si>
  <si>
    <t>영천시(단포교)</t>
  </si>
  <si>
    <t>378.10</t>
  </si>
  <si>
    <t>303.53</t>
  </si>
  <si>
    <t>-19.72</t>
  </si>
  <si>
    <t>334.60</t>
  </si>
  <si>
    <t>-11.50</t>
  </si>
  <si>
    <t>10</t>
  </si>
  <si>
    <t>44.63</t>
  </si>
  <si>
    <t>37.44</t>
  </si>
  <si>
    <t>-16.11</t>
  </si>
  <si>
    <t>41.38</t>
  </si>
  <si>
    <t>-7.28</t>
  </si>
  <si>
    <t>조만강</t>
  </si>
  <si>
    <t>김해시(정천교)</t>
  </si>
  <si>
    <t>99.80</t>
  </si>
  <si>
    <t>91.02</t>
  </si>
  <si>
    <t>-8.80</t>
  </si>
  <si>
    <t>75.29</t>
  </si>
  <si>
    <t>-24.56</t>
  </si>
  <si>
    <t>20</t>
  </si>
  <si>
    <t>223.69</t>
  </si>
  <si>
    <t>289.56</t>
  </si>
  <si>
    <t>29.45</t>
  </si>
  <si>
    <t>229.69</t>
  </si>
  <si>
    <t>2.68</t>
  </si>
  <si>
    <t>청도천</t>
  </si>
  <si>
    <t>청도군(원리)</t>
  </si>
  <si>
    <t>599.44</t>
  </si>
  <si>
    <t>590.27</t>
  </si>
  <si>
    <t>-1.53</t>
  </si>
  <si>
    <t>535.82</t>
  </si>
  <si>
    <t>-10.61</t>
  </si>
  <si>
    <t>30</t>
  </si>
  <si>
    <t>192.64</t>
  </si>
  <si>
    <t>214.25</t>
  </si>
  <si>
    <t>11.22</t>
  </si>
  <si>
    <t>203.99</t>
  </si>
  <si>
    <t>5.89</t>
  </si>
  <si>
    <t>한천</t>
  </si>
  <si>
    <t>구미시(양포교)</t>
  </si>
  <si>
    <t>197.24</t>
  </si>
  <si>
    <t>153.72</t>
  </si>
  <si>
    <t>188.72</t>
  </si>
  <si>
    <t>-4.32</t>
  </si>
  <si>
    <t>예천군(신예천교)</t>
  </si>
  <si>
    <t>437.59</t>
  </si>
  <si>
    <t>827.38</t>
  </si>
  <si>
    <t>89.08</t>
  </si>
  <si>
    <t>629.51</t>
  </si>
  <si>
    <t>43.86</t>
  </si>
  <si>
    <t>84.60</t>
  </si>
  <si>
    <t>150.50</t>
  </si>
  <si>
    <t>77.90</t>
  </si>
  <si>
    <t>88.65</t>
  </si>
  <si>
    <t>4.79</t>
  </si>
  <si>
    <t>360</t>
  </si>
  <si>
    <t>함안천</t>
  </si>
  <si>
    <t>함안군(서촌리)</t>
  </si>
  <si>
    <t>443.25</t>
  </si>
  <si>
    <t>176.89</t>
  </si>
  <si>
    <t>-60.09</t>
  </si>
  <si>
    <t>185.53</t>
  </si>
  <si>
    <t>-58.14</t>
  </si>
  <si>
    <t>-3080</t>
  </si>
  <si>
    <t>366.17</t>
  </si>
  <si>
    <t>366.62</t>
  </si>
  <si>
    <t>0.12</t>
  </si>
  <si>
    <t>383.15</t>
  </si>
  <si>
    <t>4.64</t>
  </si>
  <si>
    <t>-620</t>
  </si>
  <si>
    <t>-610</t>
  </si>
  <si>
    <t>황강</t>
  </si>
  <si>
    <t>거창군(남하교)</t>
  </si>
  <si>
    <t>553.83</t>
  </si>
  <si>
    <t>727.51</t>
  </si>
  <si>
    <t>31.36</t>
  </si>
  <si>
    <t>4300</t>
  </si>
  <si>
    <t>563.34</t>
  </si>
  <si>
    <t>590.50</t>
  </si>
  <si>
    <t>4.82</t>
  </si>
  <si>
    <t>합천군(황강교)</t>
  </si>
  <si>
    <t>852.35</t>
  </si>
  <si>
    <t>685.80</t>
  </si>
  <si>
    <t>-19.54</t>
  </si>
  <si>
    <t>367.60</t>
  </si>
  <si>
    <t>-56.87</t>
  </si>
  <si>
    <t>3630</t>
  </si>
  <si>
    <t>3690</t>
  </si>
  <si>
    <t>157.37</t>
  </si>
  <si>
    <t>379.47</t>
  </si>
  <si>
    <t>141.13</t>
  </si>
  <si>
    <t>171.51</t>
  </si>
  <si>
    <t>8.99</t>
  </si>
  <si>
    <t>-640</t>
  </si>
  <si>
    <t>황지천</t>
  </si>
  <si>
    <t>태백시(문화교)</t>
  </si>
  <si>
    <t>2023년: 개선, 2024년: 불가</t>
  </si>
  <si>
    <t>264.52</t>
  </si>
  <si>
    <t>392.12</t>
  </si>
  <si>
    <t>48.24</t>
  </si>
  <si>
    <t>317.23</t>
  </si>
  <si>
    <t>180.91</t>
  </si>
  <si>
    <t>182.08</t>
  </si>
  <si>
    <t>0.65</t>
  </si>
  <si>
    <t>141.67</t>
  </si>
  <si>
    <t>-21.69</t>
  </si>
  <si>
    <t>-120</t>
  </si>
  <si>
    <t>회천</t>
  </si>
  <si>
    <t>고령군(회천교)</t>
  </si>
  <si>
    <t>1300.96</t>
  </si>
  <si>
    <t>1052.03</t>
  </si>
  <si>
    <t>-19.13</t>
  </si>
  <si>
    <t>516.49</t>
  </si>
  <si>
    <t>-60.30</t>
  </si>
  <si>
    <t>208.58</t>
  </si>
  <si>
    <t>343.16</t>
  </si>
  <si>
    <t>64.52</t>
  </si>
  <si>
    <t>227.62</t>
  </si>
  <si>
    <t>9.13</t>
  </si>
  <si>
    <t>42.06</t>
  </si>
  <si>
    <t>낙동강동해</t>
  </si>
  <si>
    <t>남대천</t>
  </si>
  <si>
    <t>울진군(월변교)</t>
  </si>
  <si>
    <t>344.32</t>
  </si>
  <si>
    <t>718.64</t>
  </si>
  <si>
    <t>163.21</t>
  </si>
  <si>
    <t>288.04</t>
  </si>
  <si>
    <t>79.85</t>
  </si>
  <si>
    <t>166.97</t>
  </si>
  <si>
    <t>109.10</t>
  </si>
  <si>
    <t>80.61</t>
  </si>
  <si>
    <t>0.95</t>
  </si>
  <si>
    <t>냉천</t>
  </si>
  <si>
    <t>포항시(문덕3교)</t>
  </si>
  <si>
    <t>31.93</t>
  </si>
  <si>
    <t>39.34</t>
  </si>
  <si>
    <t>23.21</t>
  </si>
  <si>
    <t>37.70</t>
  </si>
  <si>
    <t>18.07</t>
  </si>
  <si>
    <t>48.21</t>
  </si>
  <si>
    <t>37.54</t>
  </si>
  <si>
    <t>-22.13</t>
  </si>
  <si>
    <t>36.85</t>
  </si>
  <si>
    <t>-23.56</t>
  </si>
  <si>
    <t>영덕오십천</t>
  </si>
  <si>
    <t>영덕군(영덕대교)</t>
  </si>
  <si>
    <t>536.43</t>
  </si>
  <si>
    <t>774.91</t>
  </si>
  <si>
    <t>44.46</t>
  </si>
  <si>
    <t>330.73</t>
  </si>
  <si>
    <t>-38.35</t>
  </si>
  <si>
    <t>-200</t>
  </si>
  <si>
    <t>167.33</t>
  </si>
  <si>
    <t>649.25</t>
  </si>
  <si>
    <t>288.01</t>
  </si>
  <si>
    <t>257.99</t>
  </si>
  <si>
    <t>54.18</t>
  </si>
  <si>
    <t>-520</t>
  </si>
  <si>
    <t>왕피천</t>
  </si>
  <si>
    <t>울진군(수산교)</t>
  </si>
  <si>
    <t>446.69</t>
  </si>
  <si>
    <t>811.66</t>
  </si>
  <si>
    <t>81.71</t>
  </si>
  <si>
    <t>785.94</t>
  </si>
  <si>
    <t>75.95</t>
  </si>
  <si>
    <t>-5420</t>
  </si>
  <si>
    <t>-5410</t>
  </si>
  <si>
    <t>483.14</t>
  </si>
  <si>
    <t>8.16</t>
  </si>
  <si>
    <t>464.56</t>
  </si>
  <si>
    <t>4.00</t>
  </si>
  <si>
    <t>-650</t>
  </si>
  <si>
    <t>태화강</t>
  </si>
  <si>
    <t>동천</t>
  </si>
  <si>
    <t>울산시(병영교)</t>
  </si>
  <si>
    <t>189.51</t>
  </si>
  <si>
    <t>274.87</t>
  </si>
  <si>
    <t>45.04</t>
  </si>
  <si>
    <t>168.72</t>
  </si>
  <si>
    <t>-10.97</t>
  </si>
  <si>
    <t>95.18</t>
  </si>
  <si>
    <t>159.84</t>
  </si>
  <si>
    <t>67.93</t>
  </si>
  <si>
    <t>110.46</t>
  </si>
  <si>
    <t>16.05</t>
  </si>
  <si>
    <t>울산시(사연교)</t>
  </si>
  <si>
    <t>371.29</t>
  </si>
  <si>
    <t>416.20</t>
  </si>
  <si>
    <t>12.10</t>
  </si>
  <si>
    <t>392.73</t>
  </si>
  <si>
    <t>5.77</t>
  </si>
  <si>
    <t>331.84</t>
  </si>
  <si>
    <t>360.82</t>
  </si>
  <si>
    <t>8.73</t>
  </si>
  <si>
    <t>356.26</t>
  </si>
  <si>
    <t>7.36</t>
  </si>
  <si>
    <t>울산시(태화교)</t>
  </si>
  <si>
    <t>429.21</t>
  </si>
  <si>
    <t>710.47</t>
  </si>
  <si>
    <t>65.53</t>
  </si>
  <si>
    <t>680.08</t>
  </si>
  <si>
    <t>58.45</t>
  </si>
  <si>
    <t>392.67</t>
  </si>
  <si>
    <t>562.25</t>
  </si>
  <si>
    <t>43.19</t>
  </si>
  <si>
    <t>550.05</t>
  </si>
  <si>
    <t>40.08</t>
  </si>
  <si>
    <t>형산강</t>
  </si>
  <si>
    <t>기계천</t>
  </si>
  <si>
    <t>경주시(달성교)</t>
  </si>
  <si>
    <t>126.23</t>
  </si>
  <si>
    <t>111.53</t>
  </si>
  <si>
    <t>-11.65</t>
  </si>
  <si>
    <t>29.36</t>
  </si>
  <si>
    <t>-76.74</t>
  </si>
  <si>
    <t>32.87</t>
  </si>
  <si>
    <t>117.49</t>
  </si>
  <si>
    <t>257.44</t>
  </si>
  <si>
    <t>35.45</t>
  </si>
  <si>
    <t>7.85</t>
  </si>
  <si>
    <t>경주시(강동대교)</t>
  </si>
  <si>
    <t>526.43</t>
  </si>
  <si>
    <t>664.33</t>
  </si>
  <si>
    <t>26.20</t>
  </si>
  <si>
    <t>402.59</t>
  </si>
  <si>
    <t>-23.52</t>
  </si>
  <si>
    <t>406.17</t>
  </si>
  <si>
    <t>741.07</t>
  </si>
  <si>
    <t>82.45</t>
  </si>
  <si>
    <t>446.64</t>
  </si>
  <si>
    <t>9.96</t>
  </si>
  <si>
    <t>경주시(서천교)</t>
  </si>
  <si>
    <t>374.77</t>
  </si>
  <si>
    <t>310.07</t>
  </si>
  <si>
    <t>-17.26</t>
  </si>
  <si>
    <t>241.65</t>
  </si>
  <si>
    <t>-35.52</t>
  </si>
  <si>
    <t>242.91</t>
  </si>
  <si>
    <t>337.41</t>
  </si>
  <si>
    <t>38.90</t>
  </si>
  <si>
    <t>266.47</t>
  </si>
  <si>
    <t>9.70</t>
  </si>
  <si>
    <t>포항시(형산교)</t>
  </si>
  <si>
    <t>708.63</t>
  </si>
  <si>
    <t>787.22</t>
  </si>
  <si>
    <t>11.09</t>
  </si>
  <si>
    <t>515.21</t>
  </si>
  <si>
    <t>-27.29</t>
  </si>
  <si>
    <t>1172.97</t>
  </si>
  <si>
    <t>878.89</t>
  </si>
  <si>
    <t>-25.07</t>
  </si>
  <si>
    <t>581.74</t>
  </si>
  <si>
    <t>-50.40</t>
  </si>
  <si>
    <t>100</t>
  </si>
  <si>
    <t>회야수영강</t>
  </si>
  <si>
    <t>수영강</t>
  </si>
  <si>
    <t>부산시(원동교)</t>
  </si>
  <si>
    <t>587.65</t>
  </si>
  <si>
    <t>293.97</t>
  </si>
  <si>
    <t>-49.98</t>
  </si>
  <si>
    <t>626.04</t>
  </si>
  <si>
    <t>472.02</t>
  </si>
  <si>
    <t>-24.60</t>
  </si>
  <si>
    <t>370</t>
  </si>
  <si>
    <t>회야강</t>
  </si>
  <si>
    <t>울산시(덕신교)</t>
  </si>
  <si>
    <t>322.34</t>
  </si>
  <si>
    <t>471.25</t>
  </si>
  <si>
    <t>46.20</t>
  </si>
  <si>
    <t>384.09</t>
  </si>
  <si>
    <t>19.16</t>
  </si>
  <si>
    <t>-370</t>
  </si>
  <si>
    <t>불가</t>
    <phoneticPr fontId="2" type="noConversion"/>
  </si>
  <si>
    <t>부분개선</t>
    <phoneticPr fontId="2" type="noConversion"/>
  </si>
  <si>
    <t>개선</t>
    <phoneticPr fontId="2" type="noConversion"/>
  </si>
  <si>
    <t>2023년</t>
    <phoneticPr fontId="2" type="noConversion"/>
  </si>
  <si>
    <t>2024년</t>
    <phoneticPr fontId="2" type="noConversion"/>
  </si>
  <si>
    <t>2023년: 불가, 2024년: 부분개선</t>
    <phoneticPr fontId="2" type="noConversion"/>
  </si>
  <si>
    <t>Note</t>
    <phoneticPr fontId="2" type="noConversion"/>
  </si>
  <si>
    <t>수위-유량 곡선</t>
    <phoneticPr fontId="2" type="noConversion"/>
  </si>
  <si>
    <t>보운영</t>
    <phoneticPr fontId="2" type="noConversion"/>
  </si>
  <si>
    <t>본류(보운영)</t>
    <phoneticPr fontId="2" type="noConversion"/>
  </si>
  <si>
    <t>조석</t>
    <phoneticPr fontId="2" type="noConversion"/>
  </si>
  <si>
    <t>댐운영</t>
    <phoneticPr fontId="2" type="noConversion"/>
  </si>
  <si>
    <t>이상치/결측치</t>
    <phoneticPr fontId="2" type="noConversion"/>
  </si>
  <si>
    <t>Q</t>
    <phoneticPr fontId="2" type="noConversion"/>
  </si>
  <si>
    <t>T</t>
    <phoneticPr fontId="2" type="noConversion"/>
  </si>
  <si>
    <t>보정전</t>
    <phoneticPr fontId="2" type="noConversion"/>
  </si>
  <si>
    <t>보정후</t>
    <phoneticPr fontId="2" type="noConversion"/>
  </si>
  <si>
    <t>Q (cms)</t>
    <phoneticPr fontId="2" type="noConversion"/>
  </si>
  <si>
    <t>n/a</t>
    <phoneticPr fontId="2" type="noConversion"/>
  </si>
  <si>
    <t>봉화군(분천교)</t>
    <phoneticPr fontId="2" type="noConversion"/>
  </si>
  <si>
    <t>불가(본류)</t>
    <phoneticPr fontId="2" type="noConversion"/>
  </si>
  <si>
    <t>불가(조석)</t>
    <phoneticPr fontId="2" type="noConversion"/>
  </si>
  <si>
    <t>불가(본류)</t>
    <phoneticPr fontId="2" type="noConversion"/>
  </si>
  <si>
    <t>불가(조석)</t>
    <phoneticPr fontId="2" type="noConversion"/>
  </si>
  <si>
    <t>Q Diff (%)</t>
    <phoneticPr fontId="2" type="noConversion"/>
  </si>
  <si>
    <t>T Diff (min)</t>
    <phoneticPr fontId="2" type="noConversion"/>
  </si>
  <si>
    <t>모형</t>
    <phoneticPr fontId="2" type="noConversion"/>
  </si>
  <si>
    <t>Basin</t>
  </si>
  <si>
    <t>River</t>
  </si>
  <si>
    <t>Station</t>
  </si>
  <si>
    <t>Note</t>
  </si>
  <si>
    <t>Classification</t>
  </si>
  <si>
    <t>Nakdong</t>
  </si>
  <si>
    <t>Gamcheon</t>
  </si>
  <si>
    <t>Partially improved</t>
  </si>
  <si>
    <t>Geumcheon</t>
  </si>
  <si>
    <t>Improved</t>
  </si>
  <si>
    <t>Geumho River</t>
  </si>
  <si>
    <t>Outlier/Missing data</t>
  </si>
  <si>
    <t>Not applicable</t>
  </si>
  <si>
    <t>Rating curve</t>
  </si>
  <si>
    <t>Weir operation</t>
  </si>
  <si>
    <t>Gilan Stream</t>
  </si>
  <si>
    <t>Nakdong River</t>
  </si>
  <si>
    <t>Main stem (weir operation)</t>
  </si>
  <si>
    <t>Tidal influence</t>
  </si>
  <si>
    <t>Dam operation</t>
  </si>
  <si>
    <t>Nam River</t>
  </si>
  <si>
    <t>Naeseong Stream</t>
  </si>
  <si>
    <t>Danjang Stream</t>
  </si>
  <si>
    <t>Dongchang Stream</t>
  </si>
  <si>
    <t>Micheon Stream</t>
  </si>
  <si>
    <t>Miryang River</t>
  </si>
  <si>
    <t>Banbyeon Stream</t>
  </si>
  <si>
    <t>Byeongseong Stream</t>
  </si>
  <si>
    <t>Buk Stream</t>
  </si>
  <si>
    <t>Seo Stream</t>
  </si>
  <si>
    <t>Sincheon Stream</t>
  </si>
  <si>
    <t>Ssanggye Stream</t>
  </si>
  <si>
    <t>Anrim Stream</t>
  </si>
  <si>
    <t>Yangsan Stream</t>
  </si>
  <si>
    <t>Yeong Stream</t>
  </si>
  <si>
    <t>Yeongcheon River</t>
  </si>
  <si>
    <t>Omok Stream</t>
  </si>
  <si>
    <t>Wicheon Stream</t>
  </si>
  <si>
    <t>Unchanged</t>
  </si>
  <si>
    <t>Uiryeong Stream</t>
  </si>
  <si>
    <t>Ian Stream</t>
  </si>
  <si>
    <t>Imcheon Stream</t>
  </si>
  <si>
    <t>Hamyang-gun (Hwachon-ri)</t>
  </si>
  <si>
    <t>Jaho Stream</t>
  </si>
  <si>
    <t>Joman River</t>
  </si>
  <si>
    <t>Cheongdo Stream</t>
  </si>
  <si>
    <t>Hancheon Stream</t>
  </si>
  <si>
    <t>Haman Stream</t>
  </si>
  <si>
    <t>Hwang River</t>
  </si>
  <si>
    <t>Hwangji Stream</t>
  </si>
  <si>
    <t>Hoe Stream</t>
  </si>
  <si>
    <t>Nakdong-East Coast</t>
  </si>
  <si>
    <t>Namdae Stream</t>
  </si>
  <si>
    <t>Naengcheon Stream</t>
  </si>
  <si>
    <t>Yeongdeok Osip Stream</t>
  </si>
  <si>
    <t>Wangpi Stream</t>
  </si>
  <si>
    <t>Taehwa</t>
  </si>
  <si>
    <t>Dongcheon Stream</t>
  </si>
  <si>
    <t>Taehwa River</t>
  </si>
  <si>
    <t>Hyeongsan</t>
  </si>
  <si>
    <t>Gigye Stream</t>
  </si>
  <si>
    <t>Hyeongsan River</t>
  </si>
  <si>
    <t>Hoeya-Suyeong</t>
  </si>
  <si>
    <t>Suyeong River</t>
  </si>
  <si>
    <t>Hoeya River</t>
  </si>
  <si>
    <t>Peak error (%)</t>
    <phoneticPr fontId="2" type="noConversion"/>
  </si>
  <si>
    <t>Before</t>
    <phoneticPr fontId="2" type="noConversion"/>
  </si>
  <si>
    <t>After</t>
    <phoneticPr fontId="2" type="noConversion"/>
  </si>
  <si>
    <t>Time error (min)</t>
    <phoneticPr fontId="2" type="noConversion"/>
  </si>
  <si>
    <t>Yecheon-gun
(Sanyang Bridge)</t>
    <phoneticPr fontId="2" type="noConversion"/>
  </si>
  <si>
    <t>Gimcheon-si
(Gimcheon Bridge)</t>
    <phoneticPr fontId="2" type="noConversion"/>
  </si>
  <si>
    <t>Daegu
(Sinam-dong)</t>
    <phoneticPr fontId="2" type="noConversion"/>
  </si>
  <si>
    <t>Yeongcheon-si
(Geumchang Bridge)</t>
    <phoneticPr fontId="2" type="noConversion"/>
  </si>
  <si>
    <t>Yeongcheon-si
(Yeongdong Bridge)</t>
    <phoneticPr fontId="2" type="noConversion"/>
  </si>
  <si>
    <t>Andong-si
(Mukgye Bridge)</t>
    <phoneticPr fontId="2" type="noConversion"/>
  </si>
  <si>
    <t>Daegu
(Seonghari)</t>
    <phoneticPr fontId="2" type="noConversion"/>
  </si>
  <si>
    <t>Miryang-si
(Samrangjin Bridge)</t>
    <phoneticPr fontId="2" type="noConversion"/>
  </si>
  <si>
    <t>Bonghwa-gun
(Buncheon Bridge)</t>
    <phoneticPr fontId="2" type="noConversion"/>
  </si>
  <si>
    <t>Busan
(Gupo Bridge)</t>
    <phoneticPr fontId="2" type="noConversion"/>
  </si>
  <si>
    <t>Yecheon-gun
(Gudam Bridge)</t>
    <phoneticPr fontId="2" type="noConversion"/>
  </si>
  <si>
    <t>Yecheon-gun
(Sangpung Bridge)</t>
    <phoneticPr fontId="2" type="noConversion"/>
  </si>
  <si>
    <t>Uiseong-gun
(Nakdan Bridge)</t>
    <phoneticPr fontId="2" type="noConversion"/>
  </si>
  <si>
    <t>Chilgok-gun
(Hogukui Bridge)</t>
    <phoneticPr fontId="2" type="noConversion"/>
  </si>
  <si>
    <t>Haman-gun
(Gyennaeri)</t>
    <phoneticPr fontId="2" type="noConversion"/>
  </si>
  <si>
    <t>Hapcheon-gun
(Jeokpo Bridge)</t>
    <phoneticPr fontId="2" type="noConversion"/>
  </si>
  <si>
    <t>Sancheong-gun
(Gyeongho Bridge)</t>
    <phoneticPr fontId="2" type="noConversion"/>
  </si>
  <si>
    <t>Uiryeong-gun
(Jeongam Bridge)</t>
    <phoneticPr fontId="2" type="noConversion"/>
  </si>
  <si>
    <t>Hamyang-gun
(Anui Bridge)</t>
    <phoneticPr fontId="2" type="noConversion"/>
  </si>
  <si>
    <t>Bonghwa-gun
(Bonghwa Bridge)</t>
    <phoneticPr fontId="2" type="noConversion"/>
  </si>
  <si>
    <t>Yecheon-gun
(Hoeryong Bridge)</t>
    <phoneticPr fontId="2" type="noConversion"/>
  </si>
  <si>
    <t>Miryang-si
(Geumgok-ri)</t>
    <phoneticPr fontId="2" type="noConversion"/>
  </si>
  <si>
    <t>Cheongdo-gun
(Maejeon Bridge)</t>
    <phoneticPr fontId="2" type="noConversion"/>
  </si>
  <si>
    <t>Andong-si
(Unsan-ri)</t>
    <phoneticPr fontId="2" type="noConversion"/>
  </si>
  <si>
    <t>Miryang-si
(Yongpyeong-dong)</t>
    <phoneticPr fontId="2" type="noConversion"/>
  </si>
  <si>
    <t>Yeongyang-gun
(Cheongam Bridge)</t>
    <phoneticPr fontId="2" type="noConversion"/>
  </si>
  <si>
    <t>Sangju-si
(Hwagye Bridge)</t>
    <phoneticPr fontId="2" type="noConversion"/>
  </si>
  <si>
    <t>Sangju-si
(Hucheon Bridge)</t>
    <phoneticPr fontId="2" type="noConversion"/>
  </si>
  <si>
    <t>Yeongju-si
(Wolho Bridge)</t>
    <phoneticPr fontId="2" type="noConversion"/>
  </si>
  <si>
    <t>Daegu
(Seongbuk Bridge)</t>
    <phoneticPr fontId="2" type="noConversion"/>
  </si>
  <si>
    <t>Uiseong-gun
(Deogeun Bridge)</t>
    <phoneticPr fontId="2" type="noConversion"/>
  </si>
  <si>
    <t>Goryeong-gun
(Gwiwon Bridge)</t>
    <phoneticPr fontId="2" type="noConversion"/>
  </si>
  <si>
    <t>Yangsan-si
(Yangsan Bridge)</t>
    <phoneticPr fontId="2" type="noConversion"/>
  </si>
  <si>
    <t>Mungyeong-si
(Gimyong-ri)</t>
    <phoneticPr fontId="2" type="noConversion"/>
  </si>
  <si>
    <t>Jinju-si
(Oksan Bridge)</t>
    <phoneticPr fontId="2" type="noConversion"/>
  </si>
  <si>
    <t>Gyeongsan-si
(Apryang Bridge)</t>
    <phoneticPr fontId="2" type="noConversion"/>
  </si>
  <si>
    <t>Gunwi-gun
(Museong-ri)</t>
    <phoneticPr fontId="2" type="noConversion"/>
  </si>
  <si>
    <t>Uiseong-gun
(Jangsong Bridge)</t>
    <phoneticPr fontId="2" type="noConversion"/>
  </si>
  <si>
    <t>Uiryeong-gun
(Gongdan Bridge)</t>
    <phoneticPr fontId="2" type="noConversion"/>
  </si>
  <si>
    <t>Sangju-si
(Ian Bridge)</t>
    <phoneticPr fontId="2" type="noConversion"/>
  </si>
  <si>
    <t>Yeongcheon-si
(Danpo Bridge)</t>
    <phoneticPr fontId="2" type="noConversion"/>
  </si>
  <si>
    <t>Gimhae-si
(Jeongcheon Bridge)</t>
    <phoneticPr fontId="2" type="noConversion"/>
  </si>
  <si>
    <t>Cheongdo-gun
(Won-ri)</t>
    <phoneticPr fontId="2" type="noConversion"/>
  </si>
  <si>
    <t>Gumi-si
(Yangpo Bridge)</t>
    <phoneticPr fontId="2" type="noConversion"/>
  </si>
  <si>
    <t>Yecheon-gun
(Sinyecheon Bridge)</t>
    <phoneticPr fontId="2" type="noConversion"/>
  </si>
  <si>
    <t>Haman-gun
(Seochon-ri)</t>
    <phoneticPr fontId="2" type="noConversion"/>
  </si>
  <si>
    <t>Geochang-gun
(Namha Bridge)</t>
    <phoneticPr fontId="2" type="noConversion"/>
  </si>
  <si>
    <t>Hapcheon-gun
(Hwanggang Bridge)</t>
    <phoneticPr fontId="2" type="noConversion"/>
  </si>
  <si>
    <t>Taebaek-si
(Munhwa Bridge)</t>
    <phoneticPr fontId="2" type="noConversion"/>
  </si>
  <si>
    <t>Goryeong-gun
(Hoecheon Bridge)</t>
    <phoneticPr fontId="2" type="noConversion"/>
  </si>
  <si>
    <t>Uljin-gun
(Wolbyeon Bridge)</t>
    <phoneticPr fontId="2" type="noConversion"/>
  </si>
  <si>
    <t>Pohang-si
(Mundeok 3 Bridge)</t>
    <phoneticPr fontId="2" type="noConversion"/>
  </si>
  <si>
    <t>Yeongdeok-gun
(Yeongdeok Bridge)</t>
    <phoneticPr fontId="2" type="noConversion"/>
  </si>
  <si>
    <t>Uljin-gun
(Susan Bridge)</t>
    <phoneticPr fontId="2" type="noConversion"/>
  </si>
  <si>
    <t>Ulsan
(Byeongyeong Bridge)</t>
    <phoneticPr fontId="2" type="noConversion"/>
  </si>
  <si>
    <t>Ulsan
(Sayeon Bridge)</t>
    <phoneticPr fontId="2" type="noConversion"/>
  </si>
  <si>
    <t>Ulsan
(Taehwa Bridge)</t>
    <phoneticPr fontId="2" type="noConversion"/>
  </si>
  <si>
    <t>Gyeongju-si
(Dalseong Bridge)</t>
    <phoneticPr fontId="2" type="noConversion"/>
  </si>
  <si>
    <t>Gyeongju-si
(Seocheon Bridge)</t>
    <phoneticPr fontId="2" type="noConversion"/>
  </si>
  <si>
    <t>Pohang-si
(Hyeongsan Bridge)</t>
    <phoneticPr fontId="2" type="noConversion"/>
  </si>
  <si>
    <t>Busan
(Wondong Bridge)</t>
    <phoneticPr fontId="2" type="noConversion"/>
  </si>
  <si>
    <t>Ulsan
(Deoksin Bridge)</t>
    <phoneticPr fontId="2" type="noConversion"/>
  </si>
  <si>
    <t>Gyeongju-si
(Gangdong Bridge)</t>
    <phoneticPr fontId="2" type="noConversion"/>
  </si>
  <si>
    <t>Year</t>
  </si>
  <si>
    <t>Metric</t>
  </si>
  <si>
    <t>Before calibration</t>
  </si>
  <si>
    <t>After calibration</t>
  </si>
  <si>
    <t>Median peak-flow error (%)</t>
  </si>
  <si>
    <t>Median time-to-peak error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</si>
</sst>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1" fillId="0" borderId="3" xfId="0" applyFont="1" applyFill="1" applyBorder="1" applyAlignment="1">
      <alignment horizontal="center" vertical="top"/>
    </xf>
    <xf numFmtId="0" fontId="0" fillId="0" borderId="0" xfId="0" applyFill="1" applyBorder="1"/>
    <xf numFmtId="0" fontId="1" fillId="0" borderId="3" xfId="0" applyFont="1" applyBorder="1" applyAlignment="1">
      <alignment horizontal="center" vertical="top"/>
    </xf>
    <xf numFmtId="2" fontId="0" fillId="0" borderId="0" xfId="0" applyNumberFormat="1"/>
    <xf numFmtId="0" fontId="4" fillId="5" borderId="0" xfId="0" applyFont="1" applyFill="1"/>
    <xf numFmtId="0" fontId="5" fillId="5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7" borderId="0" xfId="0" applyNumberFormat="1" applyFill="1"/>
    <xf numFmtId="0" fontId="0" fillId="7" borderId="0" xfId="0" applyFill="1" applyBorder="1"/>
    <xf numFmtId="0" fontId="0" fillId="8" borderId="0" xfId="0" applyFill="1"/>
    <xf numFmtId="2" fontId="0" fillId="8" borderId="0" xfId="0" applyNumberFormat="1" applyFill="1"/>
    <xf numFmtId="0" fontId="0" fillId="8" borderId="0" xfId="0" applyFill="1" applyBorder="1"/>
    <xf numFmtId="0" fontId="0" fillId="9" borderId="0" xfId="0" applyFill="1"/>
    <xf numFmtId="2" fontId="0" fillId="9" borderId="0" xfId="0" applyNumberFormat="1" applyFill="1"/>
    <xf numFmtId="0" fontId="0" fillId="9" borderId="0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1">
    <cellStyle name="표준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99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E2" sqref="E2"/>
    </sheetView>
  </sheetViews>
  <sheetFormatPr defaultRowHeight="16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884</v>
      </c>
      <c r="F1" s="1" t="s">
        <v>885</v>
      </c>
      <c r="G1" s="1" t="s">
        <v>4</v>
      </c>
    </row>
    <row r="2" spans="1:7">
      <c r="A2">
        <f>COUNTIF(비교결과!$D$4:$D$67,종합통계!A1)</f>
        <v>12</v>
      </c>
      <c r="B2">
        <f>COUNTIF(비교결과!$D$4:$D$67,종합통계!B1)</f>
        <v>18</v>
      </c>
      <c r="C2">
        <f>COUNTIF(비교결과!$D$4:$D$67,종합통계!C1)</f>
        <v>1</v>
      </c>
      <c r="D2">
        <f>COUNTIF(비교결과!$D$4:$D$67,종합통계!D1)</f>
        <v>23</v>
      </c>
      <c r="E2">
        <f>COUNTIF(비교결과!$D$4:$D$67,종합통계!E1)</f>
        <v>6</v>
      </c>
      <c r="F2">
        <f>COUNTIF(비교결과!$D$4:$D$67,종합통계!F1)</f>
        <v>4</v>
      </c>
      <c r="G2">
        <f>SUM(A2:F2)</f>
        <v>64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81A18-BC2A-49A7-A345-1FF0E05D1EDD}">
  <dimension ref="A1:AH67"/>
  <sheetViews>
    <sheetView tabSelected="1" zoomScaleNormal="100" workbookViewId="0">
      <selection activeCell="D48" sqref="D48"/>
    </sheetView>
  </sheetViews>
  <sheetFormatPr defaultRowHeight="16.5"/>
  <cols>
    <col min="3" max="3" width="18.625" bestFit="1" customWidth="1"/>
    <col min="5" max="8" width="10.25" bestFit="1" customWidth="1"/>
    <col min="9" max="10" width="9" hidden="1" customWidth="1"/>
    <col min="11" max="11" width="11" bestFit="1" customWidth="1"/>
    <col min="12" max="12" width="9" hidden="1" customWidth="1"/>
    <col min="14" max="16" width="0" hidden="1" customWidth="1"/>
    <col min="17" max="18" width="9" hidden="1" customWidth="1"/>
    <col min="20" max="20" width="9" hidden="1" customWidth="1"/>
    <col min="21" max="21" width="9.875" bestFit="1" customWidth="1"/>
    <col min="22" max="23" width="0" hidden="1" customWidth="1"/>
    <col min="24" max="24" width="9" hidden="1" customWidth="1"/>
    <col min="25" max="25" width="46.625" hidden="1" customWidth="1"/>
    <col min="26" max="29" width="10.25" customWidth="1"/>
    <col min="34" max="34" width="20.625" customWidth="1"/>
  </cols>
  <sheetData>
    <row r="1" spans="1:34">
      <c r="K1" s="29" t="s">
        <v>886</v>
      </c>
      <c r="L1" s="32"/>
      <c r="M1" s="29"/>
      <c r="N1" s="32"/>
      <c r="O1" s="32"/>
      <c r="P1" s="32"/>
      <c r="Q1" s="32"/>
      <c r="R1" s="32"/>
      <c r="S1" s="29"/>
      <c r="T1" s="32"/>
      <c r="U1" s="29"/>
      <c r="Z1" s="29" t="s">
        <v>887</v>
      </c>
      <c r="AA1" s="29"/>
      <c r="AB1" s="29"/>
      <c r="AC1" s="29"/>
      <c r="AD1" s="29" t="s">
        <v>879</v>
      </c>
      <c r="AE1" s="29"/>
      <c r="AF1" s="29"/>
      <c r="AG1" s="29"/>
    </row>
    <row r="2" spans="1:34">
      <c r="E2" s="29" t="s">
        <v>875</v>
      </c>
      <c r="F2" s="29"/>
      <c r="G2" s="29" t="s">
        <v>876</v>
      </c>
      <c r="H2" s="29"/>
      <c r="K2" s="30" t="s">
        <v>865</v>
      </c>
      <c r="L2" s="31"/>
      <c r="M2" s="30"/>
      <c r="N2" s="30"/>
      <c r="O2" s="30"/>
      <c r="P2" s="30"/>
      <c r="S2" s="30" t="s">
        <v>866</v>
      </c>
      <c r="T2" s="31"/>
      <c r="U2" s="30"/>
      <c r="V2" s="30"/>
      <c r="W2" s="30"/>
      <c r="X2" s="30"/>
      <c r="Z2" s="29" t="s">
        <v>865</v>
      </c>
      <c r="AA2" s="29"/>
      <c r="AB2" s="29" t="s">
        <v>866</v>
      </c>
      <c r="AC2" s="29"/>
      <c r="AD2" s="32" t="s">
        <v>877</v>
      </c>
      <c r="AE2" s="32"/>
      <c r="AF2" s="32" t="s">
        <v>878</v>
      </c>
      <c r="AG2" s="32"/>
    </row>
    <row r="3" spans="1:34">
      <c r="A3" s="1" t="s">
        <v>5</v>
      </c>
      <c r="B3" s="1" t="s">
        <v>6</v>
      </c>
      <c r="C3" s="1" t="s">
        <v>7</v>
      </c>
      <c r="D3" s="1" t="s">
        <v>8</v>
      </c>
      <c r="E3" s="8">
        <v>2023</v>
      </c>
      <c r="F3" s="8">
        <v>2024</v>
      </c>
      <c r="G3" s="8">
        <v>2023</v>
      </c>
      <c r="H3" s="8">
        <v>2024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9</v>
      </c>
      <c r="Z3" s="8" t="s">
        <v>877</v>
      </c>
      <c r="AA3" s="8" t="s">
        <v>878</v>
      </c>
      <c r="AB3" s="8" t="s">
        <v>877</v>
      </c>
      <c r="AC3" s="6" t="s">
        <v>878</v>
      </c>
      <c r="AD3" s="8">
        <v>2023</v>
      </c>
      <c r="AE3" s="8">
        <v>2024</v>
      </c>
      <c r="AF3" s="8">
        <v>2023</v>
      </c>
      <c r="AG3" s="8">
        <v>2024</v>
      </c>
      <c r="AH3" s="6" t="s">
        <v>868</v>
      </c>
    </row>
    <row r="4" spans="1:34">
      <c r="A4" s="13" t="s">
        <v>26</v>
      </c>
      <c r="B4" s="13" t="s">
        <v>27</v>
      </c>
      <c r="C4" s="13" t="s">
        <v>28</v>
      </c>
      <c r="D4" s="13" t="s">
        <v>1</v>
      </c>
      <c r="E4" t="str">
        <f>IF(ABS(K4)&gt;=ABS(M4),"O","X")</f>
        <v>X</v>
      </c>
      <c r="F4" t="str">
        <f>IF(ABS(S4)&gt;=ABS(U4),"O","X")</f>
        <v>O</v>
      </c>
      <c r="G4" t="str">
        <f>IF(ABS(N4)&gt;=ABS(O4),"O","X")</f>
        <v>O</v>
      </c>
      <c r="H4" t="str">
        <f>IF(ABS(V4)&gt;=ABS(W4),"O","X")</f>
        <v>O</v>
      </c>
      <c r="I4" t="s">
        <v>30</v>
      </c>
      <c r="J4" t="s">
        <v>31</v>
      </c>
      <c r="K4" s="9">
        <f t="shared" ref="K4:K47" si="0">ABS(J4-I4)/I4*100</f>
        <v>5.4879161561123162</v>
      </c>
      <c r="L4" t="s">
        <v>33</v>
      </c>
      <c r="M4" s="9">
        <f t="shared" ref="M4:M47" si="1">ABS(L4-I4)/I4*100</f>
        <v>39.19232473863962</v>
      </c>
      <c r="N4" t="s">
        <v>35</v>
      </c>
      <c r="O4" t="s">
        <v>36</v>
      </c>
      <c r="P4" t="s">
        <v>1</v>
      </c>
      <c r="Q4" t="s">
        <v>37</v>
      </c>
      <c r="R4" t="s">
        <v>38</v>
      </c>
      <c r="S4" s="9">
        <f>ABS(R4-Q4)/Q4*100</f>
        <v>121.78365885711698</v>
      </c>
      <c r="T4" t="s">
        <v>40</v>
      </c>
      <c r="U4" s="9">
        <f>ABS(T4-Q4)/Q4*100</f>
        <v>9.2445733448135261</v>
      </c>
      <c r="V4" t="s">
        <v>42</v>
      </c>
      <c r="W4" t="s">
        <v>43</v>
      </c>
      <c r="X4" t="s">
        <v>0</v>
      </c>
      <c r="Y4" t="s">
        <v>29</v>
      </c>
      <c r="Z4">
        <f t="shared" ref="Z4:Z35" si="2">ABS(N4)</f>
        <v>90</v>
      </c>
      <c r="AA4">
        <f t="shared" ref="AA4:AA35" si="3">ABS(O4)</f>
        <v>60</v>
      </c>
      <c r="AB4">
        <f t="shared" ref="AB4:AB35" si="4">ABS(V4)</f>
        <v>220</v>
      </c>
      <c r="AC4">
        <f t="shared" ref="AC4:AC35" si="5">ABS(W4)</f>
        <v>160</v>
      </c>
      <c r="AD4">
        <f t="shared" ref="AD4:AD35" si="6">J4-I4</f>
        <v>21.050000000000011</v>
      </c>
      <c r="AE4">
        <f t="shared" ref="AE4:AE35" si="7">R4-Q4</f>
        <v>268.74</v>
      </c>
      <c r="AF4">
        <f t="shared" ref="AF4:AF35" si="8">L4-I4</f>
        <v>-150.32999999999998</v>
      </c>
      <c r="AG4">
        <f t="shared" ref="AG4:AG35" si="9">T4-Q4</f>
        <v>20.400000000000006</v>
      </c>
    </row>
    <row r="5" spans="1:34" s="4" customFormat="1">
      <c r="A5" s="10" t="s">
        <v>26</v>
      </c>
      <c r="B5" s="11" t="s">
        <v>44</v>
      </c>
      <c r="C5" s="11" t="s">
        <v>45</v>
      </c>
      <c r="D5" s="11" t="s">
        <v>864</v>
      </c>
      <c r="E5" t="str">
        <f t="shared" ref="E5:E67" si="10">IF(ABS(K5)&gt;=ABS(M5),"O","X")</f>
        <v>O</v>
      </c>
      <c r="F5" t="str">
        <f t="shared" ref="F5:F67" si="11">IF(ABS(S5)&gt;=ABS(U5),"O","X")</f>
        <v>X</v>
      </c>
      <c r="G5" t="str">
        <f t="shared" ref="G5:G67" si="12">IF(ABS(N5)&gt;=ABS(O5),"O","X")</f>
        <v>O</v>
      </c>
      <c r="H5" t="str">
        <f t="shared" ref="H5:H67" si="13">IF(ABS(V5)&gt;=ABS(W5),"O","X")</f>
        <v>O</v>
      </c>
      <c r="I5" s="4" t="s">
        <v>46</v>
      </c>
      <c r="J5" s="4" t="s">
        <v>47</v>
      </c>
      <c r="K5" s="9">
        <f t="shared" si="0"/>
        <v>54.873892297205195</v>
      </c>
      <c r="L5" s="4" t="s">
        <v>49</v>
      </c>
      <c r="M5" s="9">
        <f t="shared" si="1"/>
        <v>53.228544314794789</v>
      </c>
      <c r="N5" s="4" t="s">
        <v>51</v>
      </c>
      <c r="O5" s="4" t="s">
        <v>52</v>
      </c>
      <c r="P5" s="4" t="s">
        <v>0</v>
      </c>
      <c r="Q5" s="4" t="s">
        <v>53</v>
      </c>
      <c r="R5" s="4" t="s">
        <v>54</v>
      </c>
      <c r="S5" s="9">
        <f t="shared" ref="S5:S67" si="14">ABS(R5-Q5)/Q5*100</f>
        <v>3.859717868338556</v>
      </c>
      <c r="T5" s="4" t="s">
        <v>56</v>
      </c>
      <c r="U5" s="9">
        <f t="shared" ref="U5:U67" si="15">ABS(T5-Q5)/Q5*100</f>
        <v>4.1536050156739766</v>
      </c>
      <c r="V5" s="4" t="s">
        <v>58</v>
      </c>
      <c r="W5" s="4" t="s">
        <v>59</v>
      </c>
      <c r="X5" s="4" t="s">
        <v>1</v>
      </c>
      <c r="Y5" s="4" t="s">
        <v>29</v>
      </c>
      <c r="Z5">
        <f t="shared" si="2"/>
        <v>140</v>
      </c>
      <c r="AA5">
        <f t="shared" si="3"/>
        <v>110</v>
      </c>
      <c r="AB5">
        <f t="shared" si="4"/>
        <v>70</v>
      </c>
      <c r="AC5">
        <f t="shared" si="5"/>
        <v>30</v>
      </c>
      <c r="AD5">
        <f t="shared" si="6"/>
        <v>410.55000000000007</v>
      </c>
      <c r="AE5">
        <f t="shared" si="7"/>
        <v>-3.9399999999999977</v>
      </c>
      <c r="AF5">
        <f t="shared" si="8"/>
        <v>398.24000000000012</v>
      </c>
      <c r="AG5">
        <f t="shared" si="9"/>
        <v>-4.2399999999999949</v>
      </c>
    </row>
    <row r="6" spans="1:34" s="20" customFormat="1">
      <c r="A6" s="20" t="s">
        <v>26</v>
      </c>
      <c r="B6" s="20" t="s">
        <v>60</v>
      </c>
      <c r="C6" s="20" t="s">
        <v>61</v>
      </c>
      <c r="D6" s="20" t="s">
        <v>3</v>
      </c>
      <c r="E6" s="20" t="str">
        <f t="shared" si="10"/>
        <v>X</v>
      </c>
      <c r="F6" s="20" t="str">
        <f t="shared" si="11"/>
        <v>O</v>
      </c>
      <c r="G6" s="20" t="str">
        <f t="shared" si="12"/>
        <v>O</v>
      </c>
      <c r="H6" s="20" t="str">
        <f t="shared" si="13"/>
        <v>X</v>
      </c>
      <c r="I6" s="3" t="s">
        <v>63</v>
      </c>
      <c r="J6" s="3" t="s">
        <v>64</v>
      </c>
      <c r="K6" s="21">
        <f t="shared" si="0"/>
        <v>10.241555503064509</v>
      </c>
      <c r="L6" s="3" t="s">
        <v>66</v>
      </c>
      <c r="M6" s="21">
        <f t="shared" si="1"/>
        <v>25.567835697502389</v>
      </c>
      <c r="N6" s="3" t="s">
        <v>68</v>
      </c>
      <c r="O6" s="3" t="s">
        <v>68</v>
      </c>
      <c r="P6" s="3" t="s">
        <v>3</v>
      </c>
      <c r="Q6" s="3" t="s">
        <v>69</v>
      </c>
      <c r="R6" s="3" t="s">
        <v>70</v>
      </c>
      <c r="S6" s="21">
        <f t="shared" si="14"/>
        <v>441.26342464100395</v>
      </c>
      <c r="T6" s="3" t="s">
        <v>72</v>
      </c>
      <c r="U6" s="21">
        <f t="shared" si="15"/>
        <v>295.51104139012909</v>
      </c>
      <c r="V6" s="3" t="s">
        <v>74</v>
      </c>
      <c r="W6" s="3" t="s">
        <v>75</v>
      </c>
      <c r="X6" s="3" t="s">
        <v>1</v>
      </c>
      <c r="Y6" s="3" t="s">
        <v>867</v>
      </c>
      <c r="Z6" s="20">
        <f t="shared" si="2"/>
        <v>280</v>
      </c>
      <c r="AA6" s="20">
        <f t="shared" si="3"/>
        <v>280</v>
      </c>
      <c r="AB6" s="20">
        <f t="shared" si="4"/>
        <v>210</v>
      </c>
      <c r="AC6" s="20">
        <f t="shared" si="5"/>
        <v>270</v>
      </c>
      <c r="AD6" s="20">
        <f t="shared" si="6"/>
        <v>-164.76</v>
      </c>
      <c r="AE6" s="20">
        <f t="shared" si="7"/>
        <v>731.35</v>
      </c>
      <c r="AF6" s="20">
        <f t="shared" si="8"/>
        <v>-411.31999999999994</v>
      </c>
      <c r="AG6" s="20">
        <f t="shared" si="9"/>
        <v>489.78</v>
      </c>
      <c r="AH6" s="22" t="s">
        <v>874</v>
      </c>
    </row>
    <row r="7" spans="1:34" s="3" customFormat="1">
      <c r="A7" s="2" t="s">
        <v>26</v>
      </c>
      <c r="B7" s="2" t="s">
        <v>60</v>
      </c>
      <c r="C7" s="2" t="s">
        <v>76</v>
      </c>
      <c r="D7" s="2" t="s">
        <v>862</v>
      </c>
      <c r="E7" t="str">
        <f t="shared" si="10"/>
        <v>X</v>
      </c>
      <c r="F7" t="str">
        <f t="shared" si="11"/>
        <v>X</v>
      </c>
      <c r="G7" t="str">
        <f t="shared" si="12"/>
        <v>X</v>
      </c>
      <c r="H7" t="str">
        <f t="shared" si="13"/>
        <v>X</v>
      </c>
      <c r="I7" s="3" t="s">
        <v>78</v>
      </c>
      <c r="J7" s="3" t="s">
        <v>79</v>
      </c>
      <c r="K7" s="9">
        <f t="shared" si="0"/>
        <v>22.063987843997968</v>
      </c>
      <c r="L7" s="3" t="s">
        <v>81</v>
      </c>
      <c r="M7" s="9">
        <f t="shared" si="1"/>
        <v>30.227925037987504</v>
      </c>
      <c r="N7" s="3" t="s">
        <v>83</v>
      </c>
      <c r="O7" s="3" t="s">
        <v>84</v>
      </c>
      <c r="P7" s="3" t="s">
        <v>3</v>
      </c>
      <c r="Q7" s="3" t="s">
        <v>85</v>
      </c>
      <c r="R7" s="3" t="s">
        <v>86</v>
      </c>
      <c r="S7" s="9">
        <f t="shared" si="14"/>
        <v>2.1287878787878802</v>
      </c>
      <c r="T7" s="3" t="s">
        <v>88</v>
      </c>
      <c r="U7" s="9">
        <f t="shared" si="15"/>
        <v>6.6363636363636296</v>
      </c>
      <c r="V7" s="3" t="s">
        <v>90</v>
      </c>
      <c r="W7" s="3" t="s">
        <v>91</v>
      </c>
      <c r="X7" s="3" t="s">
        <v>3</v>
      </c>
      <c r="Y7" s="3" t="s">
        <v>77</v>
      </c>
      <c r="Z7">
        <f t="shared" si="2"/>
        <v>40</v>
      </c>
      <c r="AA7">
        <f t="shared" si="3"/>
        <v>50</v>
      </c>
      <c r="AB7">
        <f t="shared" si="4"/>
        <v>580</v>
      </c>
      <c r="AC7">
        <f t="shared" si="5"/>
        <v>590</v>
      </c>
      <c r="AD7">
        <f t="shared" si="6"/>
        <v>-261.36999999999989</v>
      </c>
      <c r="AE7">
        <f t="shared" si="7"/>
        <v>-8.4300000000000068</v>
      </c>
      <c r="AF7">
        <f t="shared" si="8"/>
        <v>-358.07999999999993</v>
      </c>
      <c r="AG7">
        <f t="shared" si="9"/>
        <v>-26.279999999999973</v>
      </c>
      <c r="AH7" s="3" t="s">
        <v>869</v>
      </c>
    </row>
    <row r="8" spans="1:34" s="14" customFormat="1">
      <c r="A8" s="14" t="s">
        <v>26</v>
      </c>
      <c r="B8" s="14" t="s">
        <v>60</v>
      </c>
      <c r="C8" s="14" t="s">
        <v>92</v>
      </c>
      <c r="D8" s="14" t="s">
        <v>862</v>
      </c>
      <c r="E8" s="14" t="str">
        <f t="shared" si="10"/>
        <v>X</v>
      </c>
      <c r="F8" s="14" t="str">
        <f t="shared" si="11"/>
        <v>O</v>
      </c>
      <c r="G8" s="14" t="str">
        <f t="shared" si="12"/>
        <v>O</v>
      </c>
      <c r="H8" s="14" t="str">
        <f t="shared" si="13"/>
        <v>O</v>
      </c>
      <c r="I8" s="3" t="s">
        <v>93</v>
      </c>
      <c r="J8" s="3" t="s">
        <v>94</v>
      </c>
      <c r="K8" s="15">
        <f t="shared" si="0"/>
        <v>30.633272043598542</v>
      </c>
      <c r="L8" s="3" t="s">
        <v>96</v>
      </c>
      <c r="M8" s="15">
        <f t="shared" si="1"/>
        <v>43.630008779340393</v>
      </c>
      <c r="N8" s="3" t="s">
        <v>98</v>
      </c>
      <c r="O8" s="3" t="s">
        <v>84</v>
      </c>
      <c r="P8" s="3" t="s">
        <v>1</v>
      </c>
      <c r="Q8" s="3" t="s">
        <v>99</v>
      </c>
      <c r="R8" s="3" t="s">
        <v>100</v>
      </c>
      <c r="S8" s="15">
        <f t="shared" si="14"/>
        <v>939.48256467941496</v>
      </c>
      <c r="T8" s="3" t="s">
        <v>102</v>
      </c>
      <c r="U8" s="15">
        <f t="shared" si="15"/>
        <v>395.83802024746905</v>
      </c>
      <c r="V8" s="3" t="s">
        <v>104</v>
      </c>
      <c r="W8" s="3" t="s">
        <v>105</v>
      </c>
      <c r="X8" s="3" t="s">
        <v>0</v>
      </c>
      <c r="Y8" s="3" t="s">
        <v>29</v>
      </c>
      <c r="Z8" s="14">
        <f t="shared" si="2"/>
        <v>120</v>
      </c>
      <c r="AA8" s="14">
        <f t="shared" si="3"/>
        <v>50</v>
      </c>
      <c r="AB8" s="14">
        <f t="shared" si="4"/>
        <v>14570</v>
      </c>
      <c r="AC8" s="14">
        <f t="shared" si="5"/>
        <v>14140</v>
      </c>
      <c r="AD8" s="14">
        <f t="shared" si="6"/>
        <v>-184.93000000000006</v>
      </c>
      <c r="AE8" s="14">
        <f t="shared" si="7"/>
        <v>83.52</v>
      </c>
      <c r="AF8" s="14">
        <f t="shared" si="8"/>
        <v>-263.39000000000004</v>
      </c>
      <c r="AG8" s="14">
        <f t="shared" si="9"/>
        <v>35.19</v>
      </c>
      <c r="AH8" s="16" t="s">
        <v>870</v>
      </c>
    </row>
    <row r="9" spans="1:34" s="3" customFormat="1">
      <c r="A9" s="12" t="s">
        <v>26</v>
      </c>
      <c r="B9" s="12" t="s">
        <v>106</v>
      </c>
      <c r="C9" s="12" t="s">
        <v>107</v>
      </c>
      <c r="D9" s="12" t="s">
        <v>0</v>
      </c>
      <c r="E9" t="str">
        <f t="shared" si="10"/>
        <v>O</v>
      </c>
      <c r="F9" t="str">
        <f t="shared" si="11"/>
        <v>O</v>
      </c>
      <c r="G9" t="str">
        <f t="shared" si="12"/>
        <v>O</v>
      </c>
      <c r="H9" t="str">
        <f t="shared" si="13"/>
        <v>O</v>
      </c>
      <c r="I9" s="3" t="s">
        <v>109</v>
      </c>
      <c r="J9" s="3" t="s">
        <v>110</v>
      </c>
      <c r="K9" s="9">
        <f t="shared" si="0"/>
        <v>45.015295531519705</v>
      </c>
      <c r="L9" s="3" t="s">
        <v>112</v>
      </c>
      <c r="M9" s="9">
        <f t="shared" si="1"/>
        <v>0.30181361302305754</v>
      </c>
      <c r="N9" s="3" t="s">
        <v>114</v>
      </c>
      <c r="O9" s="3" t="s">
        <v>115</v>
      </c>
      <c r="P9" s="3" t="s">
        <v>0</v>
      </c>
      <c r="Q9" s="3" t="s">
        <v>116</v>
      </c>
      <c r="R9" s="3" t="s">
        <v>117</v>
      </c>
      <c r="S9" s="9">
        <f t="shared" si="14"/>
        <v>38.111083102260331</v>
      </c>
      <c r="T9" s="3" t="s">
        <v>119</v>
      </c>
      <c r="U9" s="9">
        <f t="shared" si="15"/>
        <v>3.5005461725905453</v>
      </c>
      <c r="V9" s="3" t="s">
        <v>121</v>
      </c>
      <c r="W9" s="3" t="s">
        <v>83</v>
      </c>
      <c r="X9" s="3" t="s">
        <v>0</v>
      </c>
      <c r="Y9" s="3" t="s">
        <v>108</v>
      </c>
      <c r="Z9">
        <f t="shared" si="2"/>
        <v>170</v>
      </c>
      <c r="AA9">
        <f t="shared" si="3"/>
        <v>60</v>
      </c>
      <c r="AB9">
        <f t="shared" si="4"/>
        <v>80</v>
      </c>
      <c r="AC9">
        <f t="shared" si="5"/>
        <v>40</v>
      </c>
      <c r="AD9">
        <f t="shared" si="6"/>
        <v>329.61999999999989</v>
      </c>
      <c r="AE9">
        <f t="shared" si="7"/>
        <v>226.78000000000009</v>
      </c>
      <c r="AF9">
        <f t="shared" si="8"/>
        <v>2.2100000000000364</v>
      </c>
      <c r="AG9">
        <f t="shared" si="9"/>
        <v>20.830000000000041</v>
      </c>
    </row>
    <row r="10" spans="1:34" s="3" customFormat="1">
      <c r="A10" s="2" t="s">
        <v>26</v>
      </c>
      <c r="B10" s="2" t="s">
        <v>26</v>
      </c>
      <c r="C10" s="2" t="s">
        <v>122</v>
      </c>
      <c r="D10" s="2" t="s">
        <v>882</v>
      </c>
      <c r="E10" t="str">
        <f t="shared" si="10"/>
        <v>O</v>
      </c>
      <c r="F10" t="str">
        <f t="shared" si="11"/>
        <v>O</v>
      </c>
      <c r="G10" t="str">
        <f t="shared" si="12"/>
        <v>X</v>
      </c>
      <c r="H10" t="str">
        <f t="shared" si="13"/>
        <v>O</v>
      </c>
      <c r="I10" s="3" t="s">
        <v>124</v>
      </c>
      <c r="J10" s="3" t="s">
        <v>125</v>
      </c>
      <c r="K10" s="9">
        <f t="shared" si="0"/>
        <v>33.507436041955295</v>
      </c>
      <c r="L10" s="3" t="s">
        <v>127</v>
      </c>
      <c r="M10" s="9">
        <f t="shared" si="1"/>
        <v>20.469381201847604</v>
      </c>
      <c r="N10" s="3" t="s">
        <v>129</v>
      </c>
      <c r="O10" s="3" t="s">
        <v>130</v>
      </c>
      <c r="P10" s="3" t="s">
        <v>1</v>
      </c>
      <c r="Q10" s="3" t="s">
        <v>131</v>
      </c>
      <c r="R10" s="3" t="s">
        <v>132</v>
      </c>
      <c r="S10" s="9">
        <f t="shared" si="14"/>
        <v>106.49731910601474</v>
      </c>
      <c r="T10" s="3" t="s">
        <v>134</v>
      </c>
      <c r="U10" s="9">
        <f t="shared" si="15"/>
        <v>84.368264585655893</v>
      </c>
      <c r="V10" s="3" t="s">
        <v>136</v>
      </c>
      <c r="W10" s="3" t="s">
        <v>137</v>
      </c>
      <c r="X10" s="3" t="s">
        <v>0</v>
      </c>
      <c r="Y10" s="3" t="s">
        <v>123</v>
      </c>
      <c r="Z10">
        <f t="shared" si="2"/>
        <v>3910</v>
      </c>
      <c r="AA10">
        <f t="shared" si="3"/>
        <v>3960</v>
      </c>
      <c r="AB10">
        <f t="shared" si="4"/>
        <v>1120</v>
      </c>
      <c r="AC10">
        <f t="shared" si="5"/>
        <v>1110</v>
      </c>
      <c r="AD10">
        <f t="shared" si="6"/>
        <v>2984.3799999999992</v>
      </c>
      <c r="AE10">
        <f t="shared" si="7"/>
        <v>4012.18</v>
      </c>
      <c r="AF10">
        <f t="shared" si="8"/>
        <v>1823.1299999999992</v>
      </c>
      <c r="AG10">
        <f t="shared" si="9"/>
        <v>3178.4900000000002</v>
      </c>
      <c r="AH10" s="7" t="s">
        <v>871</v>
      </c>
    </row>
    <row r="11" spans="1:34" s="3" customFormat="1">
      <c r="A11" s="2" t="s">
        <v>26</v>
      </c>
      <c r="B11" s="2" t="s">
        <v>26</v>
      </c>
      <c r="C11" s="2" t="s">
        <v>138</v>
      </c>
      <c r="D11" s="2" t="s">
        <v>882</v>
      </c>
      <c r="E11" t="str">
        <f t="shared" si="10"/>
        <v>O</v>
      </c>
      <c r="F11" t="str">
        <f t="shared" si="11"/>
        <v>O</v>
      </c>
      <c r="G11" t="str">
        <f t="shared" si="12"/>
        <v>O</v>
      </c>
      <c r="H11" t="str">
        <f t="shared" si="13"/>
        <v>O</v>
      </c>
      <c r="I11" s="3" t="s">
        <v>139</v>
      </c>
      <c r="J11" s="3" t="s">
        <v>140</v>
      </c>
      <c r="K11" s="9">
        <f t="shared" si="0"/>
        <v>125.43546358075383</v>
      </c>
      <c r="L11" s="3" t="s">
        <v>142</v>
      </c>
      <c r="M11" s="9">
        <f t="shared" si="1"/>
        <v>94.193781009078918</v>
      </c>
      <c r="N11" s="3" t="s">
        <v>144</v>
      </c>
      <c r="O11" s="3" t="s">
        <v>145</v>
      </c>
      <c r="P11" s="3" t="s">
        <v>0</v>
      </c>
      <c r="Q11" s="3" t="s">
        <v>146</v>
      </c>
      <c r="R11" s="3" t="s">
        <v>147</v>
      </c>
      <c r="S11" s="9">
        <f t="shared" si="14"/>
        <v>133.43099034584301</v>
      </c>
      <c r="T11" s="3" t="s">
        <v>149</v>
      </c>
      <c r="U11" s="9">
        <f t="shared" si="15"/>
        <v>99.567152441983055</v>
      </c>
      <c r="V11" s="3" t="s">
        <v>151</v>
      </c>
      <c r="W11" s="3" t="s">
        <v>152</v>
      </c>
      <c r="X11" s="3" t="s">
        <v>0</v>
      </c>
      <c r="Y11" s="3" t="s">
        <v>123</v>
      </c>
      <c r="Z11">
        <f t="shared" si="2"/>
        <v>2350</v>
      </c>
      <c r="AA11">
        <f t="shared" si="3"/>
        <v>2340</v>
      </c>
      <c r="AB11">
        <f t="shared" si="4"/>
        <v>1100</v>
      </c>
      <c r="AC11">
        <f t="shared" si="5"/>
        <v>1090</v>
      </c>
      <c r="AD11">
        <f t="shared" si="6"/>
        <v>11028.01</v>
      </c>
      <c r="AE11">
        <f t="shared" si="7"/>
        <v>7974.7699999999995</v>
      </c>
      <c r="AF11">
        <f t="shared" si="8"/>
        <v>8281.31</v>
      </c>
      <c r="AG11">
        <f t="shared" si="9"/>
        <v>5950.8300000000008</v>
      </c>
      <c r="AH11" s="7" t="s">
        <v>871</v>
      </c>
    </row>
    <row r="12" spans="1:34" s="3" customFormat="1">
      <c r="A12" s="13" t="s">
        <v>26</v>
      </c>
      <c r="B12" s="13" t="s">
        <v>26</v>
      </c>
      <c r="C12" s="13" t="s">
        <v>881</v>
      </c>
      <c r="D12" s="13" t="s">
        <v>863</v>
      </c>
      <c r="E12" t="str">
        <f t="shared" si="10"/>
        <v>O</v>
      </c>
      <c r="F12" t="str">
        <f t="shared" si="11"/>
        <v>O</v>
      </c>
      <c r="G12" t="str">
        <f t="shared" si="12"/>
        <v>O</v>
      </c>
      <c r="H12" t="str">
        <f t="shared" si="13"/>
        <v>O</v>
      </c>
      <c r="I12" s="3" t="s">
        <v>154</v>
      </c>
      <c r="J12" s="3" t="s">
        <v>155</v>
      </c>
      <c r="K12" s="9">
        <f t="shared" si="0"/>
        <v>61.766032668562012</v>
      </c>
      <c r="L12" s="3" t="s">
        <v>157</v>
      </c>
      <c r="M12" s="9">
        <f t="shared" si="1"/>
        <v>17.341404307550274</v>
      </c>
      <c r="N12" s="3" t="s">
        <v>159</v>
      </c>
      <c r="O12" s="3" t="s">
        <v>160</v>
      </c>
      <c r="P12" s="3" t="s">
        <v>0</v>
      </c>
      <c r="Q12" s="3" t="s">
        <v>161</v>
      </c>
      <c r="R12" s="3" t="s">
        <v>162</v>
      </c>
      <c r="S12" s="9">
        <f t="shared" si="14"/>
        <v>65.706379845134236</v>
      </c>
      <c r="T12" s="3" t="s">
        <v>164</v>
      </c>
      <c r="U12" s="9">
        <f t="shared" si="15"/>
        <v>2.0842166335661596</v>
      </c>
      <c r="V12" s="3" t="s">
        <v>166</v>
      </c>
      <c r="W12" s="3" t="s">
        <v>167</v>
      </c>
      <c r="X12" s="3" t="s">
        <v>0</v>
      </c>
      <c r="Y12" s="3" t="s">
        <v>108</v>
      </c>
      <c r="Z12">
        <f t="shared" si="2"/>
        <v>320</v>
      </c>
      <c r="AA12">
        <f t="shared" si="3"/>
        <v>290</v>
      </c>
      <c r="AB12">
        <f t="shared" si="4"/>
        <v>250</v>
      </c>
      <c r="AC12">
        <f t="shared" si="5"/>
        <v>210</v>
      </c>
      <c r="AD12">
        <f t="shared" si="6"/>
        <v>588.76</v>
      </c>
      <c r="AE12">
        <f t="shared" si="7"/>
        <v>294.45000000000005</v>
      </c>
      <c r="AF12">
        <f t="shared" si="8"/>
        <v>165.29999999999995</v>
      </c>
      <c r="AG12">
        <f t="shared" si="9"/>
        <v>9.3400000000000318</v>
      </c>
    </row>
    <row r="13" spans="1:34" s="3" customFormat="1">
      <c r="A13" s="2" t="s">
        <v>26</v>
      </c>
      <c r="B13" s="2" t="s">
        <v>26</v>
      </c>
      <c r="C13" s="2" t="s">
        <v>168</v>
      </c>
      <c r="D13" s="2" t="s">
        <v>883</v>
      </c>
      <c r="E13" t="str">
        <f t="shared" si="10"/>
        <v>O</v>
      </c>
      <c r="F13" t="str">
        <f t="shared" si="11"/>
        <v>O</v>
      </c>
      <c r="G13" t="str">
        <f t="shared" si="12"/>
        <v>O</v>
      </c>
      <c r="H13" t="str">
        <f t="shared" si="13"/>
        <v>O</v>
      </c>
      <c r="I13" s="3" t="s">
        <v>170</v>
      </c>
      <c r="J13" s="3" t="s">
        <v>171</v>
      </c>
      <c r="K13" s="9">
        <f t="shared" si="0"/>
        <v>138.72710627983164</v>
      </c>
      <c r="L13" s="3" t="s">
        <v>173</v>
      </c>
      <c r="M13" s="9">
        <f t="shared" si="1"/>
        <v>106.7759078320849</v>
      </c>
      <c r="N13" s="3" t="s">
        <v>175</v>
      </c>
      <c r="O13" s="3" t="s">
        <v>176</v>
      </c>
      <c r="P13" s="3" t="s">
        <v>0</v>
      </c>
      <c r="Q13" s="3" t="s">
        <v>177</v>
      </c>
      <c r="R13" s="3" t="s">
        <v>178</v>
      </c>
      <c r="S13" s="9">
        <f t="shared" si="14"/>
        <v>117.33678780793157</v>
      </c>
      <c r="T13" s="3" t="s">
        <v>180</v>
      </c>
      <c r="U13" s="9">
        <f t="shared" si="15"/>
        <v>89.318689084863294</v>
      </c>
      <c r="V13" s="3" t="s">
        <v>182</v>
      </c>
      <c r="W13" s="3" t="s">
        <v>183</v>
      </c>
      <c r="X13" s="3" t="s">
        <v>0</v>
      </c>
      <c r="Y13" s="3" t="s">
        <v>169</v>
      </c>
      <c r="Z13">
        <f t="shared" si="2"/>
        <v>2780</v>
      </c>
      <c r="AA13">
        <f t="shared" si="3"/>
        <v>2770</v>
      </c>
      <c r="AB13">
        <f t="shared" si="4"/>
        <v>940</v>
      </c>
      <c r="AC13">
        <f t="shared" si="5"/>
        <v>930</v>
      </c>
      <c r="AD13">
        <f t="shared" si="6"/>
        <v>12047.269999999999</v>
      </c>
      <c r="AE13">
        <f t="shared" si="7"/>
        <v>8500.7099999999991</v>
      </c>
      <c r="AF13">
        <f t="shared" si="8"/>
        <v>9272.58</v>
      </c>
      <c r="AG13">
        <f t="shared" si="9"/>
        <v>6470.88</v>
      </c>
      <c r="AH13" s="7" t="s">
        <v>872</v>
      </c>
    </row>
    <row r="14" spans="1:34" s="3" customFormat="1">
      <c r="A14" s="2" t="s">
        <v>26</v>
      </c>
      <c r="B14" s="2" t="s">
        <v>26</v>
      </c>
      <c r="C14" s="2" t="s">
        <v>184</v>
      </c>
      <c r="D14" s="2" t="s">
        <v>3</v>
      </c>
      <c r="E14" t="str">
        <f t="shared" si="10"/>
        <v>X</v>
      </c>
      <c r="F14" t="str">
        <f t="shared" si="11"/>
        <v>X</v>
      </c>
      <c r="G14" t="str">
        <f t="shared" si="12"/>
        <v>X</v>
      </c>
      <c r="H14" t="str">
        <f t="shared" si="13"/>
        <v>O</v>
      </c>
      <c r="I14" s="3" t="s">
        <v>185</v>
      </c>
      <c r="J14" s="3" t="s">
        <v>186</v>
      </c>
      <c r="K14" s="9">
        <f t="shared" si="0"/>
        <v>13.020446257280623</v>
      </c>
      <c r="L14" s="3" t="s">
        <v>188</v>
      </c>
      <c r="M14" s="9">
        <f t="shared" si="1"/>
        <v>21.836130362893709</v>
      </c>
      <c r="N14" s="3" t="s">
        <v>190</v>
      </c>
      <c r="O14" s="3" t="s">
        <v>191</v>
      </c>
      <c r="P14" s="3" t="s">
        <v>3</v>
      </c>
      <c r="Q14" s="3" t="s">
        <v>192</v>
      </c>
      <c r="R14" s="3" t="s">
        <v>193</v>
      </c>
      <c r="S14" s="9">
        <f t="shared" si="14"/>
        <v>6.2698672948356782</v>
      </c>
      <c r="T14" s="3" t="s">
        <v>195</v>
      </c>
      <c r="U14" s="9">
        <f t="shared" si="15"/>
        <v>8.4120217628438958</v>
      </c>
      <c r="V14" s="3" t="s">
        <v>197</v>
      </c>
      <c r="W14" s="3" t="s">
        <v>198</v>
      </c>
      <c r="X14" s="3" t="s">
        <v>1</v>
      </c>
      <c r="Y14" s="3" t="s">
        <v>62</v>
      </c>
      <c r="Z14">
        <f t="shared" si="2"/>
        <v>3560</v>
      </c>
      <c r="AA14">
        <f t="shared" si="3"/>
        <v>3580</v>
      </c>
      <c r="AB14">
        <f t="shared" si="4"/>
        <v>740</v>
      </c>
      <c r="AC14">
        <f t="shared" si="5"/>
        <v>680</v>
      </c>
      <c r="AD14">
        <f t="shared" si="6"/>
        <v>-452.00999999999976</v>
      </c>
      <c r="AE14">
        <f t="shared" si="7"/>
        <v>93.690000000000055</v>
      </c>
      <c r="AF14">
        <f t="shared" si="8"/>
        <v>-758.05000000000018</v>
      </c>
      <c r="AG14">
        <f t="shared" si="9"/>
        <v>-125.70000000000005</v>
      </c>
      <c r="AH14" s="7" t="s">
        <v>869</v>
      </c>
    </row>
    <row r="15" spans="1:34" s="14" customFormat="1">
      <c r="A15" s="14" t="s">
        <v>26</v>
      </c>
      <c r="B15" s="14" t="s">
        <v>26</v>
      </c>
      <c r="C15" s="14" t="s">
        <v>199</v>
      </c>
      <c r="D15" s="14" t="s">
        <v>862</v>
      </c>
      <c r="E15" s="14" t="str">
        <f t="shared" si="10"/>
        <v>O</v>
      </c>
      <c r="F15" s="14" t="str">
        <f t="shared" si="11"/>
        <v>O</v>
      </c>
      <c r="G15" s="14" t="str">
        <f t="shared" si="12"/>
        <v>O</v>
      </c>
      <c r="H15" s="14" t="str">
        <f t="shared" si="13"/>
        <v>O</v>
      </c>
      <c r="I15" s="2" t="s">
        <v>200</v>
      </c>
      <c r="J15" s="2" t="s">
        <v>201</v>
      </c>
      <c r="K15" s="15">
        <f t="shared" si="0"/>
        <v>11.804726150537954</v>
      </c>
      <c r="L15" s="2" t="s">
        <v>203</v>
      </c>
      <c r="M15" s="15">
        <f t="shared" si="1"/>
        <v>3.0244016239010643</v>
      </c>
      <c r="N15" s="2" t="s">
        <v>68</v>
      </c>
      <c r="O15" s="2" t="s">
        <v>205</v>
      </c>
      <c r="P15" s="2" t="s">
        <v>0</v>
      </c>
      <c r="Q15" s="2" t="s">
        <v>206</v>
      </c>
      <c r="R15" s="2" t="s">
        <v>207</v>
      </c>
      <c r="S15" s="15">
        <f t="shared" si="14"/>
        <v>61.916495358245804</v>
      </c>
      <c r="T15" s="2" t="s">
        <v>209</v>
      </c>
      <c r="U15" s="15">
        <f t="shared" si="15"/>
        <v>37.967578121333304</v>
      </c>
      <c r="V15" s="2" t="s">
        <v>211</v>
      </c>
      <c r="W15" s="2" t="s">
        <v>212</v>
      </c>
      <c r="X15" s="2" t="s">
        <v>0</v>
      </c>
      <c r="Y15" s="2" t="s">
        <v>108</v>
      </c>
      <c r="Z15" s="14">
        <f t="shared" si="2"/>
        <v>280</v>
      </c>
      <c r="AA15" s="14">
        <f t="shared" si="3"/>
        <v>270</v>
      </c>
      <c r="AB15" s="14">
        <f t="shared" si="4"/>
        <v>920</v>
      </c>
      <c r="AC15" s="14">
        <f t="shared" si="5"/>
        <v>870</v>
      </c>
      <c r="AD15" s="14">
        <f t="shared" si="6"/>
        <v>931.05999999999949</v>
      </c>
      <c r="AE15" s="14">
        <f t="shared" si="7"/>
        <v>1319.23</v>
      </c>
      <c r="AF15" s="14">
        <f t="shared" si="8"/>
        <v>238.53999999999996</v>
      </c>
      <c r="AG15" s="14">
        <f t="shared" si="9"/>
        <v>808.96</v>
      </c>
      <c r="AH15" s="14" t="s">
        <v>873</v>
      </c>
    </row>
    <row r="16" spans="1:34" s="3" customFormat="1">
      <c r="A16" s="2" t="s">
        <v>26</v>
      </c>
      <c r="B16" s="2" t="s">
        <v>26</v>
      </c>
      <c r="C16" s="2" t="s">
        <v>213</v>
      </c>
      <c r="D16" s="2" t="s">
        <v>882</v>
      </c>
      <c r="E16" t="str">
        <f t="shared" si="10"/>
        <v>O</v>
      </c>
      <c r="F16" t="str">
        <f t="shared" si="11"/>
        <v>O</v>
      </c>
      <c r="G16" t="str">
        <f t="shared" si="12"/>
        <v>O</v>
      </c>
      <c r="H16" t="str">
        <f t="shared" si="13"/>
        <v>O</v>
      </c>
      <c r="I16" s="3" t="s">
        <v>214</v>
      </c>
      <c r="J16" s="3" t="s">
        <v>215</v>
      </c>
      <c r="K16" s="9">
        <f t="shared" si="0"/>
        <v>22.676727460198354</v>
      </c>
      <c r="L16" s="3" t="s">
        <v>217</v>
      </c>
      <c r="M16" s="9">
        <f t="shared" si="1"/>
        <v>13.539577048527649</v>
      </c>
      <c r="N16" s="3" t="s">
        <v>219</v>
      </c>
      <c r="O16" s="3" t="s">
        <v>220</v>
      </c>
      <c r="P16" s="3" t="s">
        <v>0</v>
      </c>
      <c r="Q16" s="3" t="s">
        <v>221</v>
      </c>
      <c r="R16" s="3" t="s">
        <v>222</v>
      </c>
      <c r="S16" s="9">
        <f t="shared" si="14"/>
        <v>55.635814747932159</v>
      </c>
      <c r="T16" s="3" t="s">
        <v>224</v>
      </c>
      <c r="U16" s="9">
        <f t="shared" si="15"/>
        <v>36.695358309423632</v>
      </c>
      <c r="V16" s="3" t="s">
        <v>226</v>
      </c>
      <c r="W16" s="3" t="s">
        <v>227</v>
      </c>
      <c r="X16" s="3" t="s">
        <v>0</v>
      </c>
      <c r="Y16" s="3" t="s">
        <v>123</v>
      </c>
      <c r="Z16">
        <f t="shared" si="2"/>
        <v>480</v>
      </c>
      <c r="AA16">
        <f t="shared" si="3"/>
        <v>460</v>
      </c>
      <c r="AB16">
        <f t="shared" si="4"/>
        <v>1060</v>
      </c>
      <c r="AC16">
        <f t="shared" si="5"/>
        <v>1040</v>
      </c>
      <c r="AD16">
        <f t="shared" si="6"/>
        <v>1777.0299999999997</v>
      </c>
      <c r="AE16">
        <f t="shared" si="7"/>
        <v>1820.81</v>
      </c>
      <c r="AF16">
        <f t="shared" si="8"/>
        <v>1061.0100000000011</v>
      </c>
      <c r="AG16">
        <f t="shared" si="9"/>
        <v>1200.94</v>
      </c>
      <c r="AH16" s="7" t="s">
        <v>871</v>
      </c>
    </row>
    <row r="17" spans="1:34" s="3" customFormat="1">
      <c r="A17" s="2" t="s">
        <v>26</v>
      </c>
      <c r="B17" s="2" t="s">
        <v>26</v>
      </c>
      <c r="C17" s="2" t="s">
        <v>228</v>
      </c>
      <c r="D17" s="2" t="s">
        <v>882</v>
      </c>
      <c r="E17" t="str">
        <f t="shared" si="10"/>
        <v>O</v>
      </c>
      <c r="F17" t="str">
        <f t="shared" si="11"/>
        <v>O</v>
      </c>
      <c r="G17" t="str">
        <f t="shared" si="12"/>
        <v>O</v>
      </c>
      <c r="H17" t="str">
        <f t="shared" si="13"/>
        <v>O</v>
      </c>
      <c r="I17" s="3" t="s">
        <v>229</v>
      </c>
      <c r="J17" s="3" t="s">
        <v>230</v>
      </c>
      <c r="K17" s="9">
        <f t="shared" si="0"/>
        <v>21.173106189274996</v>
      </c>
      <c r="L17" s="3" t="s">
        <v>232</v>
      </c>
      <c r="M17" s="9">
        <f t="shared" si="1"/>
        <v>12.407368120285636</v>
      </c>
      <c r="N17" s="3" t="s">
        <v>211</v>
      </c>
      <c r="O17" s="3" t="s">
        <v>234</v>
      </c>
      <c r="P17" s="3" t="s">
        <v>0</v>
      </c>
      <c r="Q17" s="3" t="s">
        <v>235</v>
      </c>
      <c r="R17" s="3" t="s">
        <v>236</v>
      </c>
      <c r="S17" s="9">
        <f t="shared" si="14"/>
        <v>138.58921161825728</v>
      </c>
      <c r="T17" s="3" t="s">
        <v>238</v>
      </c>
      <c r="U17" s="9">
        <f t="shared" si="15"/>
        <v>112.2763407918719</v>
      </c>
      <c r="V17" s="3" t="s">
        <v>240</v>
      </c>
      <c r="W17" s="3" t="s">
        <v>241</v>
      </c>
      <c r="X17" s="3" t="s">
        <v>0</v>
      </c>
      <c r="Y17" s="3" t="s">
        <v>123</v>
      </c>
      <c r="Z17">
        <f t="shared" si="2"/>
        <v>920</v>
      </c>
      <c r="AA17">
        <f t="shared" si="3"/>
        <v>910</v>
      </c>
      <c r="AB17">
        <f t="shared" si="4"/>
        <v>260</v>
      </c>
      <c r="AC17">
        <f t="shared" si="5"/>
        <v>240</v>
      </c>
      <c r="AD17">
        <f t="shared" si="6"/>
        <v>1726.58</v>
      </c>
      <c r="AE17">
        <f t="shared" si="7"/>
        <v>3573.8</v>
      </c>
      <c r="AF17">
        <f t="shared" si="8"/>
        <v>1011.7700000000004</v>
      </c>
      <c r="AG17">
        <f t="shared" si="9"/>
        <v>2895.2700000000004</v>
      </c>
      <c r="AH17" s="7" t="s">
        <v>871</v>
      </c>
    </row>
    <row r="18" spans="1:34" s="3" customFormat="1">
      <c r="A18" s="2" t="s">
        <v>26</v>
      </c>
      <c r="B18" s="2" t="s">
        <v>26</v>
      </c>
      <c r="C18" s="2" t="s">
        <v>242</v>
      </c>
      <c r="D18" s="2" t="s">
        <v>882</v>
      </c>
      <c r="E18" t="str">
        <f t="shared" si="10"/>
        <v>O</v>
      </c>
      <c r="F18" t="str">
        <f t="shared" si="11"/>
        <v>O</v>
      </c>
      <c r="G18" t="str">
        <f t="shared" si="12"/>
        <v>X</v>
      </c>
      <c r="H18" t="str">
        <f t="shared" si="13"/>
        <v>O</v>
      </c>
      <c r="I18" s="3" t="s">
        <v>243</v>
      </c>
      <c r="J18" s="3" t="s">
        <v>244</v>
      </c>
      <c r="K18" s="9">
        <f t="shared" si="0"/>
        <v>135.11165096423687</v>
      </c>
      <c r="L18" s="3" t="s">
        <v>246</v>
      </c>
      <c r="M18" s="9">
        <f t="shared" si="1"/>
        <v>102.96763088097998</v>
      </c>
      <c r="N18" s="3" t="s">
        <v>248</v>
      </c>
      <c r="O18" s="3" t="s">
        <v>249</v>
      </c>
      <c r="P18" s="3" t="s">
        <v>1</v>
      </c>
      <c r="Q18" s="3" t="s">
        <v>250</v>
      </c>
      <c r="R18" s="3" t="s">
        <v>251</v>
      </c>
      <c r="S18" s="9">
        <f t="shared" si="14"/>
        <v>121.14059955603045</v>
      </c>
      <c r="T18" s="3" t="s">
        <v>253</v>
      </c>
      <c r="U18" s="9">
        <f t="shared" si="15"/>
        <v>87.290484620753006</v>
      </c>
      <c r="V18" s="3" t="s">
        <v>255</v>
      </c>
      <c r="W18" s="3" t="s">
        <v>256</v>
      </c>
      <c r="X18" s="3" t="s">
        <v>0</v>
      </c>
      <c r="Y18" s="3" t="s">
        <v>123</v>
      </c>
      <c r="Z18">
        <f t="shared" si="2"/>
        <v>3200</v>
      </c>
      <c r="AA18">
        <f t="shared" si="3"/>
        <v>3220</v>
      </c>
      <c r="AB18">
        <f t="shared" si="4"/>
        <v>1260</v>
      </c>
      <c r="AC18">
        <f t="shared" si="5"/>
        <v>1250</v>
      </c>
      <c r="AD18">
        <f t="shared" si="6"/>
        <v>9999.8700000000026</v>
      </c>
      <c r="AE18">
        <f t="shared" si="7"/>
        <v>6144.76</v>
      </c>
      <c r="AF18">
        <f t="shared" si="8"/>
        <v>7620.8300000000008</v>
      </c>
      <c r="AG18">
        <f t="shared" si="9"/>
        <v>4427.74</v>
      </c>
      <c r="AH18" s="3" t="s">
        <v>871</v>
      </c>
    </row>
    <row r="19" spans="1:34" s="3" customFormat="1">
      <c r="A19" s="2" t="s">
        <v>26</v>
      </c>
      <c r="B19" s="2" t="s">
        <v>26</v>
      </c>
      <c r="C19" s="2" t="s">
        <v>257</v>
      </c>
      <c r="D19" s="2" t="s">
        <v>882</v>
      </c>
      <c r="E19" t="str">
        <f t="shared" si="10"/>
        <v>O</v>
      </c>
      <c r="F19" t="str">
        <f t="shared" si="11"/>
        <v>O</v>
      </c>
      <c r="G19" t="str">
        <f t="shared" si="12"/>
        <v>X</v>
      </c>
      <c r="H19" t="str">
        <f t="shared" si="13"/>
        <v>O</v>
      </c>
      <c r="I19" s="3" t="s">
        <v>258</v>
      </c>
      <c r="J19" s="3" t="s">
        <v>259</v>
      </c>
      <c r="K19" s="9">
        <f t="shared" si="0"/>
        <v>81.927719611477144</v>
      </c>
      <c r="L19" s="3" t="s">
        <v>261</v>
      </c>
      <c r="M19" s="9">
        <f t="shared" si="1"/>
        <v>56.718854614436687</v>
      </c>
      <c r="N19" s="3" t="s">
        <v>263</v>
      </c>
      <c r="O19" s="3" t="s">
        <v>264</v>
      </c>
      <c r="P19" s="3" t="s">
        <v>1</v>
      </c>
      <c r="Q19" s="3" t="s">
        <v>265</v>
      </c>
      <c r="R19" s="3" t="s">
        <v>266</v>
      </c>
      <c r="S19" s="9">
        <f t="shared" si="14"/>
        <v>89.482391040936747</v>
      </c>
      <c r="T19" s="3" t="s">
        <v>268</v>
      </c>
      <c r="U19" s="9">
        <f t="shared" si="15"/>
        <v>66.857294357639447</v>
      </c>
      <c r="V19" s="3" t="s">
        <v>270</v>
      </c>
      <c r="W19" s="3" t="s">
        <v>271</v>
      </c>
      <c r="X19" s="3" t="s">
        <v>0</v>
      </c>
      <c r="Y19" s="3" t="s">
        <v>123</v>
      </c>
      <c r="Z19">
        <f t="shared" si="2"/>
        <v>3610</v>
      </c>
      <c r="AA19">
        <f t="shared" si="3"/>
        <v>3620</v>
      </c>
      <c r="AB19">
        <f t="shared" si="4"/>
        <v>1280</v>
      </c>
      <c r="AC19">
        <f t="shared" si="5"/>
        <v>1270</v>
      </c>
      <c r="AD19">
        <f t="shared" si="6"/>
        <v>6754.58</v>
      </c>
      <c r="AE19">
        <f t="shared" si="7"/>
        <v>4083.8599999999997</v>
      </c>
      <c r="AF19">
        <f t="shared" si="8"/>
        <v>4676.2200000000012</v>
      </c>
      <c r="AG19">
        <f t="shared" si="9"/>
        <v>3051.2799999999997</v>
      </c>
      <c r="AH19" s="3" t="s">
        <v>871</v>
      </c>
    </row>
    <row r="20" spans="1:34" s="3" customFormat="1">
      <c r="A20" s="2" t="s">
        <v>26</v>
      </c>
      <c r="B20" s="2" t="s">
        <v>272</v>
      </c>
      <c r="C20" s="2" t="s">
        <v>273</v>
      </c>
      <c r="D20" s="2" t="s">
        <v>3</v>
      </c>
      <c r="E20" t="str">
        <f t="shared" si="10"/>
        <v>X</v>
      </c>
      <c r="F20" t="str">
        <f t="shared" si="11"/>
        <v>X</v>
      </c>
      <c r="G20" t="str">
        <f t="shared" si="12"/>
        <v>O</v>
      </c>
      <c r="H20" t="str">
        <f t="shared" si="13"/>
        <v>O</v>
      </c>
      <c r="I20" s="3" t="s">
        <v>275</v>
      </c>
      <c r="J20" s="3" t="s">
        <v>276</v>
      </c>
      <c r="K20" s="9">
        <f t="shared" si="0"/>
        <v>13.171106535262101</v>
      </c>
      <c r="L20" s="3" t="s">
        <v>278</v>
      </c>
      <c r="M20" s="9">
        <f t="shared" si="1"/>
        <v>15.822077176442157</v>
      </c>
      <c r="N20" s="3" t="s">
        <v>280</v>
      </c>
      <c r="O20" s="3" t="s">
        <v>281</v>
      </c>
      <c r="P20" s="3" t="s">
        <v>1</v>
      </c>
      <c r="Q20" s="3" t="s">
        <v>282</v>
      </c>
      <c r="R20" s="3" t="s">
        <v>283</v>
      </c>
      <c r="S20" s="9">
        <f t="shared" si="14"/>
        <v>5.1881007387125289</v>
      </c>
      <c r="T20" s="3" t="s">
        <v>285</v>
      </c>
      <c r="U20" s="9">
        <f t="shared" si="15"/>
        <v>5.809874219217936</v>
      </c>
      <c r="V20" s="3" t="s">
        <v>287</v>
      </c>
      <c r="W20" s="3" t="s">
        <v>287</v>
      </c>
      <c r="X20" s="3" t="s">
        <v>3</v>
      </c>
      <c r="Y20" s="3" t="s">
        <v>274</v>
      </c>
      <c r="Z20">
        <f t="shared" si="2"/>
        <v>150</v>
      </c>
      <c r="AA20">
        <f t="shared" si="3"/>
        <v>130</v>
      </c>
      <c r="AB20">
        <f t="shared" si="4"/>
        <v>400</v>
      </c>
      <c r="AC20">
        <f t="shared" si="5"/>
        <v>400</v>
      </c>
      <c r="AD20">
        <f t="shared" si="6"/>
        <v>-305.11000000000013</v>
      </c>
      <c r="AE20">
        <f t="shared" si="7"/>
        <v>36.379999999999995</v>
      </c>
      <c r="AF20">
        <f t="shared" si="8"/>
        <v>-366.52000000000021</v>
      </c>
      <c r="AG20">
        <f t="shared" si="9"/>
        <v>40.740000000000009</v>
      </c>
      <c r="AH20" s="7" t="s">
        <v>869</v>
      </c>
    </row>
    <row r="21" spans="1:34" s="4" customFormat="1">
      <c r="A21" s="13" t="s">
        <v>26</v>
      </c>
      <c r="B21" s="13" t="s">
        <v>272</v>
      </c>
      <c r="C21" s="13" t="s">
        <v>288</v>
      </c>
      <c r="D21" s="13" t="s">
        <v>863</v>
      </c>
      <c r="E21" t="str">
        <f t="shared" si="10"/>
        <v>O</v>
      </c>
      <c r="F21" t="str">
        <f t="shared" si="11"/>
        <v>O</v>
      </c>
      <c r="G21" t="str">
        <f t="shared" si="12"/>
        <v>O</v>
      </c>
      <c r="H21" t="str">
        <f t="shared" si="13"/>
        <v>O</v>
      </c>
      <c r="I21" s="4" t="s">
        <v>289</v>
      </c>
      <c r="J21" s="4" t="s">
        <v>290</v>
      </c>
      <c r="K21" s="9">
        <f t="shared" si="0"/>
        <v>42.670844144676337</v>
      </c>
      <c r="L21" s="4" t="s">
        <v>292</v>
      </c>
      <c r="M21" s="9">
        <f t="shared" si="1"/>
        <v>5.3060949802965638</v>
      </c>
      <c r="N21" s="4" t="s">
        <v>294</v>
      </c>
      <c r="O21" s="4" t="s">
        <v>294</v>
      </c>
      <c r="P21" s="4" t="s">
        <v>1</v>
      </c>
      <c r="Q21" s="4" t="s">
        <v>295</v>
      </c>
      <c r="R21" s="4" t="s">
        <v>296</v>
      </c>
      <c r="S21" s="9">
        <f t="shared" si="14"/>
        <v>84.884148318979513</v>
      </c>
      <c r="T21" s="4" t="s">
        <v>298</v>
      </c>
      <c r="U21" s="9">
        <f t="shared" si="15"/>
        <v>23.50834204172823</v>
      </c>
      <c r="V21" s="4" t="s">
        <v>300</v>
      </c>
      <c r="W21" s="4" t="s">
        <v>301</v>
      </c>
      <c r="X21" s="4" t="s">
        <v>0</v>
      </c>
      <c r="Y21" s="4" t="s">
        <v>29</v>
      </c>
      <c r="Z21">
        <f t="shared" si="2"/>
        <v>500</v>
      </c>
      <c r="AA21">
        <f t="shared" si="3"/>
        <v>500</v>
      </c>
      <c r="AB21">
        <f t="shared" si="4"/>
        <v>430</v>
      </c>
      <c r="AC21">
        <f t="shared" si="5"/>
        <v>420</v>
      </c>
      <c r="AD21">
        <f t="shared" si="6"/>
        <v>570.65000000000009</v>
      </c>
      <c r="AE21">
        <f t="shared" si="7"/>
        <v>1177.8100000000002</v>
      </c>
      <c r="AF21">
        <f t="shared" si="8"/>
        <v>70.960000000000036</v>
      </c>
      <c r="AG21">
        <f t="shared" si="9"/>
        <v>326.19000000000005</v>
      </c>
    </row>
    <row r="22" spans="1:34" s="20" customFormat="1">
      <c r="A22" s="20" t="s">
        <v>26</v>
      </c>
      <c r="B22" s="20" t="s">
        <v>272</v>
      </c>
      <c r="C22" s="20" t="s">
        <v>302</v>
      </c>
      <c r="D22" s="20" t="s">
        <v>3</v>
      </c>
      <c r="E22" s="20" t="str">
        <f t="shared" si="10"/>
        <v>O</v>
      </c>
      <c r="F22" s="20" t="e">
        <f t="shared" si="11"/>
        <v>#DIV/0!</v>
      </c>
      <c r="G22" s="20" t="str">
        <f t="shared" si="12"/>
        <v>O</v>
      </c>
      <c r="H22" s="20" t="str">
        <f t="shared" si="13"/>
        <v>O</v>
      </c>
      <c r="I22" s="3" t="s">
        <v>304</v>
      </c>
      <c r="J22" s="3" t="s">
        <v>305</v>
      </c>
      <c r="K22" s="21">
        <f t="shared" si="0"/>
        <v>551.6725352112677</v>
      </c>
      <c r="L22" s="3" t="s">
        <v>305</v>
      </c>
      <c r="M22" s="21">
        <f t="shared" si="1"/>
        <v>551.6725352112677</v>
      </c>
      <c r="N22" s="3" t="s">
        <v>307</v>
      </c>
      <c r="O22" s="3" t="s">
        <v>307</v>
      </c>
      <c r="P22" s="3" t="s">
        <v>2</v>
      </c>
      <c r="Q22" s="3" t="s">
        <v>308</v>
      </c>
      <c r="R22" s="3" t="s">
        <v>309</v>
      </c>
      <c r="S22" s="21" t="e">
        <f t="shared" si="14"/>
        <v>#DIV/0!</v>
      </c>
      <c r="T22" s="3" t="s">
        <v>309</v>
      </c>
      <c r="U22" s="21" t="e">
        <f t="shared" si="15"/>
        <v>#DIV/0!</v>
      </c>
      <c r="V22" s="3" t="s">
        <v>310</v>
      </c>
      <c r="W22" s="3" t="s">
        <v>310</v>
      </c>
      <c r="X22" s="3" t="s">
        <v>3</v>
      </c>
      <c r="Y22" s="3" t="s">
        <v>303</v>
      </c>
      <c r="Z22" s="20">
        <f t="shared" si="2"/>
        <v>11690</v>
      </c>
      <c r="AA22" s="20">
        <f t="shared" si="3"/>
        <v>11690</v>
      </c>
      <c r="AB22" s="20">
        <f t="shared" si="4"/>
        <v>22400</v>
      </c>
      <c r="AC22" s="20">
        <f t="shared" si="5"/>
        <v>22400</v>
      </c>
      <c r="AD22" s="20">
        <f t="shared" si="6"/>
        <v>250.68</v>
      </c>
      <c r="AE22" s="20">
        <f t="shared" si="7"/>
        <v>235.53</v>
      </c>
      <c r="AF22" s="20">
        <f t="shared" si="8"/>
        <v>250.68</v>
      </c>
      <c r="AG22" s="20">
        <f t="shared" si="9"/>
        <v>235.53</v>
      </c>
      <c r="AH22" s="22" t="s">
        <v>874</v>
      </c>
    </row>
    <row r="23" spans="1:34" s="17" customFormat="1">
      <c r="A23" s="17" t="s">
        <v>26</v>
      </c>
      <c r="B23" s="17" t="s">
        <v>311</v>
      </c>
      <c r="C23" s="17" t="s">
        <v>312</v>
      </c>
      <c r="D23" s="17" t="s">
        <v>3</v>
      </c>
      <c r="E23" s="17" t="str">
        <f t="shared" si="10"/>
        <v>X</v>
      </c>
      <c r="F23" s="17" t="str">
        <f t="shared" si="11"/>
        <v>O</v>
      </c>
      <c r="G23" s="17" t="str">
        <f t="shared" si="12"/>
        <v>O</v>
      </c>
      <c r="H23" s="17" t="str">
        <f t="shared" si="13"/>
        <v>O</v>
      </c>
      <c r="I23" s="3" t="s">
        <v>314</v>
      </c>
      <c r="J23" s="3" t="s">
        <v>315</v>
      </c>
      <c r="K23" s="18">
        <f t="shared" si="0"/>
        <v>35.569752557221875</v>
      </c>
      <c r="L23" s="3" t="s">
        <v>317</v>
      </c>
      <c r="M23" s="18">
        <f t="shared" si="1"/>
        <v>38.267313360970512</v>
      </c>
      <c r="N23" s="3" t="s">
        <v>58</v>
      </c>
      <c r="O23" s="3" t="s">
        <v>58</v>
      </c>
      <c r="P23" s="3" t="s">
        <v>3</v>
      </c>
      <c r="Q23" s="3" t="s">
        <v>319</v>
      </c>
      <c r="R23" s="3" t="s">
        <v>320</v>
      </c>
      <c r="S23" s="18">
        <f t="shared" si="14"/>
        <v>104.72703062583224</v>
      </c>
      <c r="T23" s="3" t="s">
        <v>322</v>
      </c>
      <c r="U23" s="18">
        <f t="shared" si="15"/>
        <v>89.330892143808256</v>
      </c>
      <c r="V23" s="3" t="s">
        <v>59</v>
      </c>
      <c r="W23" s="3" t="s">
        <v>324</v>
      </c>
      <c r="X23" s="3" t="s">
        <v>0</v>
      </c>
      <c r="Y23" s="3" t="s">
        <v>313</v>
      </c>
      <c r="Z23" s="17">
        <f t="shared" si="2"/>
        <v>70</v>
      </c>
      <c r="AA23" s="17">
        <f t="shared" si="3"/>
        <v>70</v>
      </c>
      <c r="AB23" s="17">
        <f t="shared" si="4"/>
        <v>30</v>
      </c>
      <c r="AC23" s="17">
        <f t="shared" si="5"/>
        <v>20</v>
      </c>
      <c r="AD23" s="17">
        <f t="shared" si="6"/>
        <v>-302.88</v>
      </c>
      <c r="AE23" s="17">
        <f t="shared" si="7"/>
        <v>62.92</v>
      </c>
      <c r="AF23" s="17">
        <f t="shared" si="8"/>
        <v>-325.85000000000002</v>
      </c>
      <c r="AG23" s="17">
        <f t="shared" si="9"/>
        <v>53.67</v>
      </c>
      <c r="AH23" s="19" t="s">
        <v>869</v>
      </c>
    </row>
    <row r="24" spans="1:34" s="3" customFormat="1">
      <c r="A24" s="13" t="s">
        <v>26</v>
      </c>
      <c r="B24" s="13" t="s">
        <v>311</v>
      </c>
      <c r="C24" s="13" t="s">
        <v>325</v>
      </c>
      <c r="D24" s="13" t="s">
        <v>863</v>
      </c>
      <c r="E24" t="str">
        <f t="shared" si="10"/>
        <v>O</v>
      </c>
      <c r="F24" t="str">
        <f t="shared" si="11"/>
        <v>O</v>
      </c>
      <c r="G24" t="str">
        <f t="shared" si="12"/>
        <v>O</v>
      </c>
      <c r="H24" t="str">
        <f t="shared" si="13"/>
        <v>O</v>
      </c>
      <c r="I24" s="3" t="s">
        <v>326</v>
      </c>
      <c r="J24" s="3" t="s">
        <v>327</v>
      </c>
      <c r="K24" s="9">
        <f t="shared" si="0"/>
        <v>19.305021865188422</v>
      </c>
      <c r="L24" s="3" t="s">
        <v>329</v>
      </c>
      <c r="M24" s="9">
        <f t="shared" si="1"/>
        <v>3.9785028230786917E-2</v>
      </c>
      <c r="N24" s="3" t="s">
        <v>167</v>
      </c>
      <c r="O24" s="3" t="s">
        <v>331</v>
      </c>
      <c r="P24" s="3" t="s">
        <v>0</v>
      </c>
      <c r="Q24" s="3" t="s">
        <v>332</v>
      </c>
      <c r="R24" s="3" t="s">
        <v>333</v>
      </c>
      <c r="S24" s="9">
        <f t="shared" si="14"/>
        <v>82.444793733412354</v>
      </c>
      <c r="T24" s="3" t="s">
        <v>335</v>
      </c>
      <c r="U24" s="9">
        <f t="shared" si="15"/>
        <v>28.712412069365357</v>
      </c>
      <c r="V24" s="3" t="s">
        <v>337</v>
      </c>
      <c r="W24" s="3" t="s">
        <v>338</v>
      </c>
      <c r="X24" s="3" t="s">
        <v>0</v>
      </c>
      <c r="Y24" s="3" t="s">
        <v>108</v>
      </c>
      <c r="Z24">
        <f t="shared" si="2"/>
        <v>210</v>
      </c>
      <c r="AA24">
        <f t="shared" si="3"/>
        <v>190</v>
      </c>
      <c r="AB24">
        <f t="shared" si="4"/>
        <v>840</v>
      </c>
      <c r="AC24">
        <f t="shared" si="5"/>
        <v>560</v>
      </c>
      <c r="AD24">
        <f t="shared" si="6"/>
        <v>582.27999999999975</v>
      </c>
      <c r="AE24">
        <f t="shared" si="7"/>
        <v>319.95999999999998</v>
      </c>
      <c r="AF24">
        <f t="shared" si="8"/>
        <v>-1.1999999999998181</v>
      </c>
      <c r="AG24">
        <f t="shared" si="9"/>
        <v>111.43</v>
      </c>
    </row>
    <row r="25" spans="1:34" s="3" customFormat="1">
      <c r="A25" s="12" t="s">
        <v>26</v>
      </c>
      <c r="B25" s="12" t="s">
        <v>339</v>
      </c>
      <c r="C25" s="12" t="s">
        <v>340</v>
      </c>
      <c r="D25" s="12" t="s">
        <v>0</v>
      </c>
      <c r="E25" t="str">
        <f t="shared" si="10"/>
        <v>O</v>
      </c>
      <c r="F25" t="str">
        <f t="shared" si="11"/>
        <v>O</v>
      </c>
      <c r="G25" t="str">
        <f t="shared" si="12"/>
        <v>O</v>
      </c>
      <c r="H25" t="str">
        <f t="shared" si="13"/>
        <v>O</v>
      </c>
      <c r="I25" s="3" t="s">
        <v>341</v>
      </c>
      <c r="J25" s="3" t="s">
        <v>342</v>
      </c>
      <c r="K25" s="9">
        <f t="shared" si="0"/>
        <v>109.68512571473327</v>
      </c>
      <c r="L25" s="3" t="s">
        <v>344</v>
      </c>
      <c r="M25" s="9">
        <f t="shared" si="1"/>
        <v>16.017858541552442</v>
      </c>
      <c r="N25" s="3" t="s">
        <v>346</v>
      </c>
      <c r="O25" s="3" t="s">
        <v>36</v>
      </c>
      <c r="P25" s="3" t="s">
        <v>0</v>
      </c>
      <c r="Q25" s="3" t="s">
        <v>347</v>
      </c>
      <c r="R25" s="3" t="s">
        <v>348</v>
      </c>
      <c r="S25" s="9">
        <f t="shared" si="14"/>
        <v>145.12792324605238</v>
      </c>
      <c r="T25" s="3" t="s">
        <v>350</v>
      </c>
      <c r="U25" s="9">
        <f t="shared" si="15"/>
        <v>7.6753947631421067</v>
      </c>
      <c r="V25" s="3" t="s">
        <v>280</v>
      </c>
      <c r="W25" s="3" t="s">
        <v>59</v>
      </c>
      <c r="X25" s="3" t="s">
        <v>0</v>
      </c>
      <c r="Y25" s="3" t="s">
        <v>108</v>
      </c>
      <c r="Z25">
        <f t="shared" si="2"/>
        <v>2680</v>
      </c>
      <c r="AA25">
        <f t="shared" si="3"/>
        <v>60</v>
      </c>
      <c r="AB25">
        <f t="shared" si="4"/>
        <v>150</v>
      </c>
      <c r="AC25">
        <f t="shared" si="5"/>
        <v>30</v>
      </c>
      <c r="AD25">
        <f t="shared" si="6"/>
        <v>280.06999999999994</v>
      </c>
      <c r="AE25">
        <f t="shared" si="7"/>
        <v>290.43</v>
      </c>
      <c r="AF25">
        <f t="shared" si="8"/>
        <v>-40.900000000000006</v>
      </c>
      <c r="AG25">
        <f t="shared" si="9"/>
        <v>15.359999999999985</v>
      </c>
    </row>
    <row r="26" spans="1:34" s="20" customFormat="1">
      <c r="A26" s="20" t="s">
        <v>26</v>
      </c>
      <c r="B26" s="20" t="s">
        <v>352</v>
      </c>
      <c r="C26" s="20" t="s">
        <v>353</v>
      </c>
      <c r="D26" s="20" t="s">
        <v>862</v>
      </c>
      <c r="E26" s="20" t="str">
        <f t="shared" si="10"/>
        <v>O</v>
      </c>
      <c r="F26" s="20" t="str">
        <f t="shared" si="11"/>
        <v>O</v>
      </c>
      <c r="G26" s="20" t="str">
        <f t="shared" si="12"/>
        <v>X</v>
      </c>
      <c r="H26" s="20" t="str">
        <f t="shared" si="13"/>
        <v>O</v>
      </c>
      <c r="I26" s="3" t="s">
        <v>354</v>
      </c>
      <c r="J26" s="3" t="s">
        <v>355</v>
      </c>
      <c r="K26" s="21">
        <f t="shared" si="0"/>
        <v>89.696233664062078</v>
      </c>
      <c r="L26" s="3" t="s">
        <v>357</v>
      </c>
      <c r="M26" s="21">
        <f t="shared" si="1"/>
        <v>87.374258151738047</v>
      </c>
      <c r="N26" s="3" t="s">
        <v>43</v>
      </c>
      <c r="O26" s="3" t="s">
        <v>114</v>
      </c>
      <c r="P26" s="3" t="s">
        <v>1</v>
      </c>
      <c r="Q26" s="3" t="s">
        <v>359</v>
      </c>
      <c r="R26" s="3" t="s">
        <v>360</v>
      </c>
      <c r="S26" s="21">
        <f t="shared" si="14"/>
        <v>91.236403519622641</v>
      </c>
      <c r="T26" s="3" t="s">
        <v>362</v>
      </c>
      <c r="U26" s="21">
        <f t="shared" si="15"/>
        <v>90.292174859602682</v>
      </c>
      <c r="V26" s="3" t="s">
        <v>43</v>
      </c>
      <c r="W26" s="3" t="s">
        <v>51</v>
      </c>
      <c r="X26" s="3" t="s">
        <v>0</v>
      </c>
      <c r="Y26" s="3" t="s">
        <v>29</v>
      </c>
      <c r="Z26" s="20">
        <f t="shared" si="2"/>
        <v>160</v>
      </c>
      <c r="AA26" s="20">
        <f t="shared" si="3"/>
        <v>170</v>
      </c>
      <c r="AB26" s="20">
        <f t="shared" si="4"/>
        <v>160</v>
      </c>
      <c r="AC26" s="20">
        <f t="shared" si="5"/>
        <v>140</v>
      </c>
      <c r="AD26" s="20">
        <f t="shared" si="6"/>
        <v>-1174.33</v>
      </c>
      <c r="AE26" s="20">
        <f t="shared" si="7"/>
        <v>-1106.3600000000001</v>
      </c>
      <c r="AF26" s="20">
        <f t="shared" si="8"/>
        <v>-1143.93</v>
      </c>
      <c r="AG26" s="20">
        <f t="shared" si="9"/>
        <v>-1094.9100000000001</v>
      </c>
      <c r="AH26" s="22" t="s">
        <v>888</v>
      </c>
    </row>
    <row r="27" spans="1:34" s="3" customFormat="1">
      <c r="A27" s="13" t="s">
        <v>26</v>
      </c>
      <c r="B27" s="13" t="s">
        <v>364</v>
      </c>
      <c r="C27" s="13" t="s">
        <v>365</v>
      </c>
      <c r="D27" s="13" t="s">
        <v>863</v>
      </c>
      <c r="E27" t="str">
        <f t="shared" si="10"/>
        <v>X</v>
      </c>
      <c r="F27" t="str">
        <f t="shared" si="11"/>
        <v>O</v>
      </c>
      <c r="G27" t="str">
        <f t="shared" si="12"/>
        <v>X</v>
      </c>
      <c r="H27" t="str">
        <f t="shared" si="13"/>
        <v>X</v>
      </c>
      <c r="I27" s="3" t="s">
        <v>366</v>
      </c>
      <c r="J27" s="3" t="s">
        <v>367</v>
      </c>
      <c r="K27" s="9">
        <f t="shared" si="0"/>
        <v>56.755600378961525</v>
      </c>
      <c r="L27" s="3" t="s">
        <v>369</v>
      </c>
      <c r="M27" s="9">
        <f t="shared" si="1"/>
        <v>73.170135387060284</v>
      </c>
      <c r="N27" s="3" t="s">
        <v>324</v>
      </c>
      <c r="O27" s="3" t="s">
        <v>371</v>
      </c>
      <c r="P27" s="3" t="s">
        <v>3</v>
      </c>
      <c r="Q27" s="3" t="s">
        <v>372</v>
      </c>
      <c r="R27" s="3" t="s">
        <v>373</v>
      </c>
      <c r="S27" s="9">
        <f t="shared" si="14"/>
        <v>53.164979950353278</v>
      </c>
      <c r="T27" s="3" t="s">
        <v>375</v>
      </c>
      <c r="U27" s="9">
        <f t="shared" si="15"/>
        <v>12.320985296925722</v>
      </c>
      <c r="V27" s="3" t="s">
        <v>377</v>
      </c>
      <c r="W27" s="3" t="s">
        <v>371</v>
      </c>
      <c r="X27" s="3" t="s">
        <v>1</v>
      </c>
      <c r="Y27" s="3" t="s">
        <v>62</v>
      </c>
      <c r="Z27">
        <f t="shared" si="2"/>
        <v>20</v>
      </c>
      <c r="AA27">
        <f t="shared" si="3"/>
        <v>80</v>
      </c>
      <c r="AB27">
        <f t="shared" si="4"/>
        <v>40</v>
      </c>
      <c r="AC27">
        <f t="shared" si="5"/>
        <v>80</v>
      </c>
      <c r="AD27">
        <f t="shared" si="6"/>
        <v>-371.41999999999996</v>
      </c>
      <c r="AE27">
        <f t="shared" si="7"/>
        <v>111.37000000000003</v>
      </c>
      <c r="AF27">
        <f t="shared" si="8"/>
        <v>-478.83999999999992</v>
      </c>
      <c r="AG27">
        <f t="shared" si="9"/>
        <v>25.810000000000002</v>
      </c>
    </row>
    <row r="28" spans="1:34" s="4" customFormat="1">
      <c r="A28" s="13" t="s">
        <v>26</v>
      </c>
      <c r="B28" s="13" t="s">
        <v>378</v>
      </c>
      <c r="C28" s="13" t="s">
        <v>379</v>
      </c>
      <c r="D28" s="13" t="s">
        <v>863</v>
      </c>
      <c r="E28" t="str">
        <f t="shared" si="10"/>
        <v>X</v>
      </c>
      <c r="F28" t="str">
        <f t="shared" si="11"/>
        <v>O</v>
      </c>
      <c r="G28" t="str">
        <f t="shared" si="12"/>
        <v>O</v>
      </c>
      <c r="H28" t="str">
        <f t="shared" si="13"/>
        <v>O</v>
      </c>
      <c r="I28" s="3" t="s">
        <v>380</v>
      </c>
      <c r="J28" s="3" t="s">
        <v>381</v>
      </c>
      <c r="K28" s="9">
        <f t="shared" si="0"/>
        <v>15.303458596607911</v>
      </c>
      <c r="L28" s="3" t="s">
        <v>383</v>
      </c>
      <c r="M28" s="9">
        <f t="shared" si="1"/>
        <v>22.053541735949452</v>
      </c>
      <c r="N28" s="4" t="s">
        <v>385</v>
      </c>
      <c r="O28" s="4" t="s">
        <v>386</v>
      </c>
      <c r="P28" s="4" t="s">
        <v>1</v>
      </c>
      <c r="Q28" s="3" t="s">
        <v>342</v>
      </c>
      <c r="R28" s="3" t="s">
        <v>387</v>
      </c>
      <c r="S28" s="9">
        <f t="shared" si="14"/>
        <v>96.296296296296319</v>
      </c>
      <c r="T28" s="3" t="s">
        <v>389</v>
      </c>
      <c r="U28" s="9">
        <f t="shared" si="15"/>
        <v>13.621336919370213</v>
      </c>
      <c r="V28" s="4" t="s">
        <v>281</v>
      </c>
      <c r="W28" s="4" t="s">
        <v>84</v>
      </c>
      <c r="X28" s="4" t="s">
        <v>0</v>
      </c>
      <c r="Y28" s="4" t="s">
        <v>29</v>
      </c>
      <c r="Z28">
        <f t="shared" si="2"/>
        <v>140</v>
      </c>
      <c r="AA28">
        <f t="shared" si="3"/>
        <v>0</v>
      </c>
      <c r="AB28">
        <f t="shared" si="4"/>
        <v>130</v>
      </c>
      <c r="AC28">
        <f t="shared" si="5"/>
        <v>50</v>
      </c>
      <c r="AD28">
        <f t="shared" si="6"/>
        <v>184.06999999999994</v>
      </c>
      <c r="AE28">
        <f t="shared" si="7"/>
        <v>515.58000000000004</v>
      </c>
      <c r="AF28">
        <f t="shared" si="8"/>
        <v>-265.26</v>
      </c>
      <c r="AG28">
        <f t="shared" si="9"/>
        <v>72.930000000000064</v>
      </c>
    </row>
    <row r="29" spans="1:34" s="4" customFormat="1">
      <c r="A29" s="13" t="s">
        <v>26</v>
      </c>
      <c r="B29" s="13" t="s">
        <v>391</v>
      </c>
      <c r="C29" s="13" t="s">
        <v>392</v>
      </c>
      <c r="D29" s="13" t="s">
        <v>863</v>
      </c>
      <c r="E29" t="str">
        <f t="shared" si="10"/>
        <v>O</v>
      </c>
      <c r="F29" t="str">
        <f t="shared" si="11"/>
        <v>O</v>
      </c>
      <c r="G29" t="str">
        <f t="shared" si="12"/>
        <v>X</v>
      </c>
      <c r="H29" t="str">
        <f t="shared" si="13"/>
        <v>O</v>
      </c>
      <c r="I29" s="3" t="s">
        <v>393</v>
      </c>
      <c r="J29" s="3" t="s">
        <v>394</v>
      </c>
      <c r="K29" s="9">
        <f t="shared" si="0"/>
        <v>33.153407548194409</v>
      </c>
      <c r="L29" s="3" t="s">
        <v>396</v>
      </c>
      <c r="M29" s="9">
        <f t="shared" si="1"/>
        <v>4.5332609285908241</v>
      </c>
      <c r="N29" s="4" t="s">
        <v>59</v>
      </c>
      <c r="O29" s="4" t="s">
        <v>371</v>
      </c>
      <c r="P29" s="4" t="s">
        <v>1</v>
      </c>
      <c r="Q29" s="3" t="s">
        <v>398</v>
      </c>
      <c r="R29" s="3" t="s">
        <v>399</v>
      </c>
      <c r="S29" s="9">
        <f t="shared" si="14"/>
        <v>24.899540757749701</v>
      </c>
      <c r="T29" s="3" t="s">
        <v>401</v>
      </c>
      <c r="U29" s="9">
        <f t="shared" si="15"/>
        <v>5.654420206659009</v>
      </c>
      <c r="V29" s="4" t="s">
        <v>280</v>
      </c>
      <c r="W29" s="4" t="s">
        <v>59</v>
      </c>
      <c r="X29" s="4" t="s">
        <v>0</v>
      </c>
      <c r="Y29" s="4" t="s">
        <v>29</v>
      </c>
      <c r="Z29">
        <f t="shared" si="2"/>
        <v>30</v>
      </c>
      <c r="AA29">
        <f t="shared" si="3"/>
        <v>80</v>
      </c>
      <c r="AB29">
        <f t="shared" si="4"/>
        <v>150</v>
      </c>
      <c r="AC29">
        <f t="shared" si="5"/>
        <v>30</v>
      </c>
      <c r="AD29">
        <f t="shared" si="6"/>
        <v>305.26</v>
      </c>
      <c r="AE29">
        <f t="shared" si="7"/>
        <v>69.399999999999977</v>
      </c>
      <c r="AF29">
        <f t="shared" si="8"/>
        <v>41.740000000000009</v>
      </c>
      <c r="AG29">
        <f t="shared" si="9"/>
        <v>15.759999999999991</v>
      </c>
    </row>
    <row r="30" spans="1:34" s="3" customFormat="1">
      <c r="A30" s="13" t="s">
        <v>26</v>
      </c>
      <c r="B30" s="13" t="s">
        <v>403</v>
      </c>
      <c r="C30" s="13" t="s">
        <v>404</v>
      </c>
      <c r="D30" s="13" t="s">
        <v>863</v>
      </c>
      <c r="E30" t="str">
        <f t="shared" si="10"/>
        <v>X</v>
      </c>
      <c r="F30" t="str">
        <f t="shared" si="11"/>
        <v>O</v>
      </c>
      <c r="G30" t="str">
        <f t="shared" si="12"/>
        <v>X</v>
      </c>
      <c r="H30" t="str">
        <f t="shared" si="13"/>
        <v>O</v>
      </c>
      <c r="I30" s="3" t="s">
        <v>405</v>
      </c>
      <c r="J30" s="3" t="s">
        <v>406</v>
      </c>
      <c r="K30" s="9">
        <f t="shared" si="0"/>
        <v>19.437340153452688</v>
      </c>
      <c r="L30" s="3" t="s">
        <v>408</v>
      </c>
      <c r="M30" s="9">
        <f t="shared" si="1"/>
        <v>29.334555807556818</v>
      </c>
      <c r="N30" s="3" t="s">
        <v>410</v>
      </c>
      <c r="O30" s="3" t="s">
        <v>115</v>
      </c>
      <c r="P30" s="3" t="s">
        <v>3</v>
      </c>
      <c r="Q30" s="3" t="s">
        <v>411</v>
      </c>
      <c r="R30" s="3" t="s">
        <v>412</v>
      </c>
      <c r="S30" s="9">
        <f t="shared" si="14"/>
        <v>21.788326203946472</v>
      </c>
      <c r="T30" s="3" t="s">
        <v>414</v>
      </c>
      <c r="U30" s="9">
        <f t="shared" si="15"/>
        <v>9.7626604112046405</v>
      </c>
      <c r="V30" s="3" t="s">
        <v>416</v>
      </c>
      <c r="W30" s="3" t="s">
        <v>416</v>
      </c>
      <c r="X30" s="3" t="s">
        <v>1</v>
      </c>
      <c r="Y30" s="3" t="s">
        <v>62</v>
      </c>
      <c r="Z30">
        <f t="shared" si="2"/>
        <v>50</v>
      </c>
      <c r="AA30">
        <f t="shared" si="3"/>
        <v>60</v>
      </c>
      <c r="AB30">
        <f t="shared" si="4"/>
        <v>130</v>
      </c>
      <c r="AC30">
        <f t="shared" si="5"/>
        <v>130</v>
      </c>
      <c r="AD30">
        <f t="shared" si="6"/>
        <v>-40.28</v>
      </c>
      <c r="AE30">
        <f t="shared" si="7"/>
        <v>31.580000000000013</v>
      </c>
      <c r="AF30">
        <f t="shared" si="8"/>
        <v>-60.789999999999992</v>
      </c>
      <c r="AG30">
        <f t="shared" si="9"/>
        <v>14.150000000000006</v>
      </c>
    </row>
    <row r="31" spans="1:34" s="4" customFormat="1">
      <c r="A31" s="12" t="s">
        <v>26</v>
      </c>
      <c r="B31" s="12" t="s">
        <v>417</v>
      </c>
      <c r="C31" s="12" t="s">
        <v>418</v>
      </c>
      <c r="D31" s="12" t="s">
        <v>864</v>
      </c>
      <c r="E31" t="str">
        <f t="shared" si="10"/>
        <v>O</v>
      </c>
      <c r="F31" t="str">
        <f t="shared" si="11"/>
        <v>O</v>
      </c>
      <c r="G31" t="str">
        <f t="shared" si="12"/>
        <v>O</v>
      </c>
      <c r="H31" t="str">
        <f t="shared" si="13"/>
        <v>O</v>
      </c>
      <c r="I31" s="3" t="s">
        <v>419</v>
      </c>
      <c r="J31" s="3" t="s">
        <v>420</v>
      </c>
      <c r="K31" s="9">
        <f t="shared" si="0"/>
        <v>34.856132546268576</v>
      </c>
      <c r="L31" s="3" t="s">
        <v>422</v>
      </c>
      <c r="M31" s="9">
        <f t="shared" si="1"/>
        <v>31.841902643510998</v>
      </c>
      <c r="N31" s="4" t="s">
        <v>424</v>
      </c>
      <c r="O31" s="4" t="s">
        <v>84</v>
      </c>
      <c r="P31" s="4" t="s">
        <v>0</v>
      </c>
      <c r="Q31" s="3" t="s">
        <v>425</v>
      </c>
      <c r="R31" s="3" t="s">
        <v>426</v>
      </c>
      <c r="S31" s="9">
        <f t="shared" si="14"/>
        <v>10.683022688024771</v>
      </c>
      <c r="T31" s="3" t="s">
        <v>428</v>
      </c>
      <c r="U31" s="9">
        <f t="shared" si="15"/>
        <v>3.298993628297517</v>
      </c>
      <c r="V31" s="4" t="s">
        <v>430</v>
      </c>
      <c r="W31" s="4" t="s">
        <v>430</v>
      </c>
      <c r="X31" s="4" t="s">
        <v>1</v>
      </c>
      <c r="Y31" s="4" t="s">
        <v>29</v>
      </c>
      <c r="Z31">
        <f t="shared" si="2"/>
        <v>150</v>
      </c>
      <c r="AA31">
        <f t="shared" si="3"/>
        <v>50</v>
      </c>
      <c r="AB31">
        <f t="shared" si="4"/>
        <v>10</v>
      </c>
      <c r="AC31">
        <f t="shared" si="5"/>
        <v>10</v>
      </c>
      <c r="AD31">
        <f t="shared" si="6"/>
        <v>-122.23000000000002</v>
      </c>
      <c r="AE31">
        <f t="shared" si="7"/>
        <v>-17.939999999999998</v>
      </c>
      <c r="AF31">
        <f t="shared" si="8"/>
        <v>-111.66000000000003</v>
      </c>
      <c r="AG31">
        <f t="shared" si="9"/>
        <v>-5.5400000000000205</v>
      </c>
    </row>
    <row r="32" spans="1:34" s="4" customFormat="1">
      <c r="A32" s="13" t="s">
        <v>26</v>
      </c>
      <c r="B32" s="13" t="s">
        <v>431</v>
      </c>
      <c r="C32" s="13" t="s">
        <v>432</v>
      </c>
      <c r="D32" s="13" t="s">
        <v>863</v>
      </c>
      <c r="E32" t="str">
        <f t="shared" si="10"/>
        <v>O</v>
      </c>
      <c r="F32" t="str">
        <f t="shared" si="11"/>
        <v>X</v>
      </c>
      <c r="G32" t="str">
        <f t="shared" si="12"/>
        <v>O</v>
      </c>
      <c r="H32" t="str">
        <f t="shared" si="13"/>
        <v>O</v>
      </c>
      <c r="I32" s="3" t="s">
        <v>433</v>
      </c>
      <c r="J32" s="3" t="s">
        <v>434</v>
      </c>
      <c r="K32" s="9">
        <f t="shared" si="0"/>
        <v>15.934902528517583</v>
      </c>
      <c r="L32" s="3" t="s">
        <v>436</v>
      </c>
      <c r="M32" s="9">
        <f t="shared" si="1"/>
        <v>15.229347111632507</v>
      </c>
      <c r="N32" s="4" t="s">
        <v>430</v>
      </c>
      <c r="O32" s="4" t="s">
        <v>386</v>
      </c>
      <c r="P32" s="4" t="s">
        <v>0</v>
      </c>
      <c r="Q32" s="3" t="s">
        <v>438</v>
      </c>
      <c r="R32" s="3" t="s">
        <v>439</v>
      </c>
      <c r="S32" s="9">
        <f t="shared" si="14"/>
        <v>11.287321967733078</v>
      </c>
      <c r="T32" s="3" t="s">
        <v>441</v>
      </c>
      <c r="U32" s="9">
        <f t="shared" si="15"/>
        <v>11.387965476226777</v>
      </c>
      <c r="V32" s="4" t="s">
        <v>121</v>
      </c>
      <c r="W32" s="4" t="s">
        <v>58</v>
      </c>
      <c r="X32" s="4" t="s">
        <v>1</v>
      </c>
      <c r="Y32" s="4" t="s">
        <v>29</v>
      </c>
      <c r="Z32">
        <f t="shared" si="2"/>
        <v>10</v>
      </c>
      <c r="AA32">
        <f t="shared" si="3"/>
        <v>0</v>
      </c>
      <c r="AB32">
        <f t="shared" si="4"/>
        <v>80</v>
      </c>
      <c r="AC32">
        <f t="shared" si="5"/>
        <v>70</v>
      </c>
      <c r="AD32">
        <f t="shared" si="6"/>
        <v>191.51999999999998</v>
      </c>
      <c r="AE32">
        <f t="shared" si="7"/>
        <v>-37.009999999999991</v>
      </c>
      <c r="AF32">
        <f t="shared" si="8"/>
        <v>183.03999999999996</v>
      </c>
      <c r="AG32">
        <f t="shared" si="9"/>
        <v>-37.339999999999975</v>
      </c>
    </row>
    <row r="33" spans="1:34" s="20" customFormat="1">
      <c r="A33" s="20" t="s">
        <v>26</v>
      </c>
      <c r="B33" s="20" t="s">
        <v>443</v>
      </c>
      <c r="C33" s="20" t="s">
        <v>444</v>
      </c>
      <c r="D33" s="20" t="s">
        <v>862</v>
      </c>
      <c r="E33" s="20" t="str">
        <f t="shared" si="10"/>
        <v>O</v>
      </c>
      <c r="F33" s="20" t="str">
        <f t="shared" si="11"/>
        <v>O</v>
      </c>
      <c r="G33" s="20" t="str">
        <f t="shared" si="12"/>
        <v>O</v>
      </c>
      <c r="H33" s="20" t="str">
        <f t="shared" si="13"/>
        <v>O</v>
      </c>
      <c r="I33" s="3" t="s">
        <v>446</v>
      </c>
      <c r="J33" s="3" t="s">
        <v>447</v>
      </c>
      <c r="K33" s="21">
        <f t="shared" si="0"/>
        <v>55.204993128721959</v>
      </c>
      <c r="L33" s="3" t="s">
        <v>447</v>
      </c>
      <c r="M33" s="21">
        <f t="shared" si="1"/>
        <v>55.204993128721959</v>
      </c>
      <c r="N33" s="3" t="s">
        <v>449</v>
      </c>
      <c r="O33" s="3" t="s">
        <v>449</v>
      </c>
      <c r="P33" s="3" t="s">
        <v>2</v>
      </c>
      <c r="Q33" s="3" t="s">
        <v>450</v>
      </c>
      <c r="R33" s="3" t="s">
        <v>451</v>
      </c>
      <c r="S33" s="21">
        <f t="shared" si="14"/>
        <v>15.35913432341412</v>
      </c>
      <c r="T33" s="3" t="s">
        <v>451</v>
      </c>
      <c r="U33" s="21">
        <f t="shared" si="15"/>
        <v>15.35913432341412</v>
      </c>
      <c r="V33" s="3" t="s">
        <v>453</v>
      </c>
      <c r="W33" s="3" t="s">
        <v>453</v>
      </c>
      <c r="X33" s="3" t="s">
        <v>2</v>
      </c>
      <c r="Y33" s="3" t="s">
        <v>445</v>
      </c>
      <c r="Z33" s="20">
        <f t="shared" si="2"/>
        <v>100</v>
      </c>
      <c r="AA33" s="20">
        <f t="shared" si="3"/>
        <v>100</v>
      </c>
      <c r="AB33" s="20">
        <f t="shared" si="4"/>
        <v>16380</v>
      </c>
      <c r="AC33" s="20">
        <f t="shared" si="5"/>
        <v>16380</v>
      </c>
      <c r="AD33" s="20">
        <f t="shared" si="6"/>
        <v>192.82000000000005</v>
      </c>
      <c r="AE33" s="20">
        <f t="shared" si="7"/>
        <v>27.819999999999993</v>
      </c>
      <c r="AF33" s="20">
        <f t="shared" si="8"/>
        <v>192.82000000000005</v>
      </c>
      <c r="AG33" s="20">
        <f t="shared" si="9"/>
        <v>27.819999999999993</v>
      </c>
      <c r="AH33" s="22" t="s">
        <v>874</v>
      </c>
    </row>
    <row r="34" spans="1:34" s="4" customFormat="1">
      <c r="A34" s="13" t="s">
        <v>26</v>
      </c>
      <c r="B34" s="13" t="s">
        <v>454</v>
      </c>
      <c r="C34" s="13" t="s">
        <v>455</v>
      </c>
      <c r="D34" s="13" t="s">
        <v>863</v>
      </c>
      <c r="E34" t="str">
        <f t="shared" si="10"/>
        <v>O</v>
      </c>
      <c r="F34" t="str">
        <f t="shared" si="11"/>
        <v>O</v>
      </c>
      <c r="G34" t="str">
        <f t="shared" si="12"/>
        <v>X</v>
      </c>
      <c r="H34" t="str">
        <f t="shared" si="13"/>
        <v>O</v>
      </c>
      <c r="I34" s="3" t="s">
        <v>456</v>
      </c>
      <c r="J34" s="3" t="s">
        <v>457</v>
      </c>
      <c r="K34" s="9">
        <f t="shared" si="0"/>
        <v>34.697421648347152</v>
      </c>
      <c r="L34" s="3" t="s">
        <v>459</v>
      </c>
      <c r="M34" s="9">
        <f t="shared" si="1"/>
        <v>11.778286274670039</v>
      </c>
      <c r="N34" s="4" t="s">
        <v>83</v>
      </c>
      <c r="O34" s="4" t="s">
        <v>84</v>
      </c>
      <c r="P34" s="4" t="s">
        <v>1</v>
      </c>
      <c r="Q34" s="3" t="s">
        <v>461</v>
      </c>
      <c r="R34" s="3" t="s">
        <v>462</v>
      </c>
      <c r="S34" s="9">
        <f t="shared" si="14"/>
        <v>49.218427288736223</v>
      </c>
      <c r="T34" s="3" t="s">
        <v>464</v>
      </c>
      <c r="U34" s="9">
        <f t="shared" si="15"/>
        <v>16.885883861991001</v>
      </c>
      <c r="V34" s="4" t="s">
        <v>466</v>
      </c>
      <c r="W34" s="4" t="s">
        <v>58</v>
      </c>
      <c r="X34" s="4" t="s">
        <v>0</v>
      </c>
      <c r="Y34" s="4" t="s">
        <v>29</v>
      </c>
      <c r="Z34">
        <f t="shared" si="2"/>
        <v>40</v>
      </c>
      <c r="AA34">
        <f t="shared" si="3"/>
        <v>50</v>
      </c>
      <c r="AB34">
        <f t="shared" si="4"/>
        <v>260</v>
      </c>
      <c r="AC34">
        <f t="shared" si="5"/>
        <v>70</v>
      </c>
      <c r="AD34">
        <f t="shared" si="6"/>
        <v>-169.82999999999998</v>
      </c>
      <c r="AE34">
        <f t="shared" si="7"/>
        <v>-226.39000000000001</v>
      </c>
      <c r="AF34">
        <f t="shared" si="8"/>
        <v>-57.649999999999977</v>
      </c>
      <c r="AG34">
        <f t="shared" si="9"/>
        <v>-77.670000000000016</v>
      </c>
    </row>
    <row r="35" spans="1:34" s="4" customFormat="1">
      <c r="A35" s="13" t="s">
        <v>26</v>
      </c>
      <c r="B35" s="13" t="s">
        <v>467</v>
      </c>
      <c r="C35" s="13" t="s">
        <v>468</v>
      </c>
      <c r="D35" s="13" t="s">
        <v>863</v>
      </c>
      <c r="E35" t="str">
        <f t="shared" si="10"/>
        <v>O</v>
      </c>
      <c r="F35" t="str">
        <f t="shared" si="11"/>
        <v>O</v>
      </c>
      <c r="G35" t="str">
        <f t="shared" si="12"/>
        <v>O</v>
      </c>
      <c r="H35" t="str">
        <f t="shared" si="13"/>
        <v>O</v>
      </c>
      <c r="I35" s="3" t="s">
        <v>469</v>
      </c>
      <c r="J35" s="3" t="s">
        <v>470</v>
      </c>
      <c r="K35" s="9">
        <f t="shared" si="0"/>
        <v>12.320600574078156</v>
      </c>
      <c r="L35" s="3" t="s">
        <v>471</v>
      </c>
      <c r="M35" s="9">
        <f t="shared" si="1"/>
        <v>11.325777090846648</v>
      </c>
      <c r="N35" s="4" t="s">
        <v>324</v>
      </c>
      <c r="O35" s="4" t="s">
        <v>430</v>
      </c>
      <c r="P35" s="4" t="s">
        <v>0</v>
      </c>
      <c r="Q35" s="3" t="s">
        <v>473</v>
      </c>
      <c r="R35" s="3" t="s">
        <v>474</v>
      </c>
      <c r="S35" s="9">
        <f t="shared" si="14"/>
        <v>45.443083573487023</v>
      </c>
      <c r="T35" s="3" t="s">
        <v>475</v>
      </c>
      <c r="U35" s="9">
        <f t="shared" si="15"/>
        <v>24.135446685878957</v>
      </c>
      <c r="V35" s="4" t="s">
        <v>477</v>
      </c>
      <c r="W35" s="4" t="s">
        <v>477</v>
      </c>
      <c r="X35" s="4" t="s">
        <v>1</v>
      </c>
      <c r="Y35" s="4" t="s">
        <v>29</v>
      </c>
      <c r="Z35">
        <f t="shared" si="2"/>
        <v>20</v>
      </c>
      <c r="AA35">
        <f t="shared" si="3"/>
        <v>10</v>
      </c>
      <c r="AB35">
        <f t="shared" si="4"/>
        <v>180</v>
      </c>
      <c r="AC35">
        <f t="shared" si="5"/>
        <v>180</v>
      </c>
      <c r="AD35">
        <f t="shared" si="6"/>
        <v>100.43999999999994</v>
      </c>
      <c r="AE35">
        <f t="shared" si="7"/>
        <v>50.459999999999994</v>
      </c>
      <c r="AF35">
        <f t="shared" si="8"/>
        <v>-92.330000000000041</v>
      </c>
      <c r="AG35">
        <f t="shared" si="9"/>
        <v>26.799999999999997</v>
      </c>
    </row>
    <row r="36" spans="1:34" s="4" customFormat="1">
      <c r="A36" s="12" t="s">
        <v>26</v>
      </c>
      <c r="B36" s="12" t="s">
        <v>478</v>
      </c>
      <c r="C36" s="12" t="s">
        <v>479</v>
      </c>
      <c r="D36" s="12" t="s">
        <v>864</v>
      </c>
      <c r="E36" t="str">
        <f t="shared" si="10"/>
        <v>O</v>
      </c>
      <c r="F36" t="str">
        <f t="shared" si="11"/>
        <v>O</v>
      </c>
      <c r="G36" t="str">
        <f t="shared" si="12"/>
        <v>O</v>
      </c>
      <c r="H36" t="str">
        <f t="shared" si="13"/>
        <v>O</v>
      </c>
      <c r="I36" s="3" t="s">
        <v>480</v>
      </c>
      <c r="J36" s="3" t="s">
        <v>481</v>
      </c>
      <c r="K36" s="9">
        <f t="shared" si="0"/>
        <v>101.64198325820988</v>
      </c>
      <c r="L36" s="3" t="s">
        <v>483</v>
      </c>
      <c r="M36" s="9">
        <f t="shared" si="1"/>
        <v>70.953579582040632</v>
      </c>
      <c r="N36" s="4" t="s">
        <v>485</v>
      </c>
      <c r="O36" s="4" t="s">
        <v>42</v>
      </c>
      <c r="P36" s="4" t="s">
        <v>0</v>
      </c>
      <c r="Q36" s="3" t="s">
        <v>486</v>
      </c>
      <c r="R36" s="3" t="s">
        <v>487</v>
      </c>
      <c r="S36" s="9">
        <f t="shared" si="14"/>
        <v>12.572512791800811</v>
      </c>
      <c r="T36" s="3" t="s">
        <v>489</v>
      </c>
      <c r="U36" s="9">
        <f t="shared" si="15"/>
        <v>5.2162553072364988</v>
      </c>
      <c r="V36" s="4" t="s">
        <v>36</v>
      </c>
      <c r="W36" s="4" t="s">
        <v>324</v>
      </c>
      <c r="X36" s="4" t="s">
        <v>0</v>
      </c>
      <c r="Y36" s="4" t="s">
        <v>108</v>
      </c>
      <c r="Z36">
        <f t="shared" ref="Z36:Z67" si="16">ABS(N36)</f>
        <v>230</v>
      </c>
      <c r="AA36">
        <f t="shared" ref="AA36:AA67" si="17">ABS(O36)</f>
        <v>220</v>
      </c>
      <c r="AB36">
        <f t="shared" ref="AB36:AB67" si="18">ABS(V36)</f>
        <v>60</v>
      </c>
      <c r="AC36">
        <f t="shared" ref="AC36:AC67" si="19">ABS(W36)</f>
        <v>20</v>
      </c>
      <c r="AD36">
        <f t="shared" ref="AD36:AD67" si="20">J36-I36</f>
        <v>347.26999999999992</v>
      </c>
      <c r="AE36">
        <f t="shared" ref="AE36:AE67" si="21">R36-Q36</f>
        <v>80.840000000000032</v>
      </c>
      <c r="AF36">
        <f t="shared" ref="AF36:AF67" si="22">L36-I36</f>
        <v>242.42000000000002</v>
      </c>
      <c r="AG36">
        <f t="shared" ref="AG36:AG67" si="23">T36-Q36</f>
        <v>33.539999999999964</v>
      </c>
    </row>
    <row r="37" spans="1:34" s="4" customFormat="1">
      <c r="A37" s="12" t="s">
        <v>26</v>
      </c>
      <c r="B37" s="12" t="s">
        <v>492</v>
      </c>
      <c r="C37" s="12" t="s">
        <v>493</v>
      </c>
      <c r="D37" s="12" t="s">
        <v>864</v>
      </c>
      <c r="E37" t="str">
        <f t="shared" si="10"/>
        <v>X</v>
      </c>
      <c r="F37" t="str">
        <f t="shared" si="11"/>
        <v>O</v>
      </c>
      <c r="G37" t="str">
        <f t="shared" si="12"/>
        <v>O</v>
      </c>
      <c r="H37" t="str">
        <f t="shared" si="13"/>
        <v>O</v>
      </c>
      <c r="I37" s="3" t="s">
        <v>494</v>
      </c>
      <c r="J37" s="3" t="s">
        <v>495</v>
      </c>
      <c r="K37" s="9">
        <f t="shared" si="0"/>
        <v>1.2262861958737852</v>
      </c>
      <c r="L37" s="3" t="s">
        <v>497</v>
      </c>
      <c r="M37" s="9">
        <f t="shared" si="1"/>
        <v>1.5983008210711884</v>
      </c>
      <c r="N37" s="4" t="s">
        <v>83</v>
      </c>
      <c r="O37" s="4" t="s">
        <v>83</v>
      </c>
      <c r="P37" s="4" t="s">
        <v>3</v>
      </c>
      <c r="Q37" s="3" t="s">
        <v>499</v>
      </c>
      <c r="R37" s="3" t="s">
        <v>500</v>
      </c>
      <c r="S37" s="9">
        <f t="shared" si="14"/>
        <v>1.0682342530261533</v>
      </c>
      <c r="T37" s="3" t="s">
        <v>502</v>
      </c>
      <c r="U37" s="9">
        <f t="shared" si="15"/>
        <v>0.35239088524383205</v>
      </c>
      <c r="V37" s="4" t="s">
        <v>240</v>
      </c>
      <c r="W37" s="4" t="s">
        <v>166</v>
      </c>
      <c r="X37" s="4" t="s">
        <v>0</v>
      </c>
      <c r="Y37" s="4" t="s">
        <v>313</v>
      </c>
      <c r="Z37">
        <f t="shared" si="16"/>
        <v>40</v>
      </c>
      <c r="AA37">
        <f t="shared" si="17"/>
        <v>40</v>
      </c>
      <c r="AB37">
        <f t="shared" si="18"/>
        <v>260</v>
      </c>
      <c r="AC37">
        <f t="shared" si="19"/>
        <v>250</v>
      </c>
      <c r="AD37">
        <f t="shared" si="20"/>
        <v>28.809999999999945</v>
      </c>
      <c r="AE37">
        <f t="shared" si="21"/>
        <v>-6.7600000000001046</v>
      </c>
      <c r="AF37">
        <f t="shared" si="22"/>
        <v>37.550000000000182</v>
      </c>
      <c r="AG37">
        <f t="shared" si="23"/>
        <v>-2.2300000000000182</v>
      </c>
    </row>
    <row r="38" spans="1:34" s="4" customFormat="1">
      <c r="A38" s="12" t="s">
        <v>26</v>
      </c>
      <c r="B38" s="12" t="s">
        <v>504</v>
      </c>
      <c r="C38" s="12" t="s">
        <v>505</v>
      </c>
      <c r="D38" s="12" t="s">
        <v>864</v>
      </c>
      <c r="E38" t="str">
        <f t="shared" si="10"/>
        <v>O</v>
      </c>
      <c r="F38" t="str">
        <f t="shared" si="11"/>
        <v>O</v>
      </c>
      <c r="G38" t="str">
        <f t="shared" si="12"/>
        <v>X</v>
      </c>
      <c r="H38" t="str">
        <f t="shared" si="13"/>
        <v>X</v>
      </c>
      <c r="I38" t="s">
        <v>507</v>
      </c>
      <c r="J38" t="s">
        <v>508</v>
      </c>
      <c r="K38" s="9">
        <f t="shared" si="0"/>
        <v>22.93845971657522</v>
      </c>
      <c r="L38" t="s">
        <v>510</v>
      </c>
      <c r="M38" s="9">
        <f t="shared" si="1"/>
        <v>12.598192081474751</v>
      </c>
      <c r="N38" s="4" t="s">
        <v>59</v>
      </c>
      <c r="O38" s="4" t="s">
        <v>83</v>
      </c>
      <c r="P38" s="4" t="s">
        <v>1</v>
      </c>
      <c r="Q38" t="s">
        <v>512</v>
      </c>
      <c r="R38" t="s">
        <v>513</v>
      </c>
      <c r="S38" s="9">
        <f t="shared" si="14"/>
        <v>28.716478065416222</v>
      </c>
      <c r="T38" t="s">
        <v>515</v>
      </c>
      <c r="U38" s="9">
        <f t="shared" si="15"/>
        <v>10.09727174081538</v>
      </c>
      <c r="V38" s="4" t="s">
        <v>59</v>
      </c>
      <c r="W38" s="4" t="s">
        <v>83</v>
      </c>
      <c r="X38" s="4" t="s">
        <v>1</v>
      </c>
      <c r="Y38" s="4" t="s">
        <v>506</v>
      </c>
      <c r="Z38">
        <f t="shared" si="16"/>
        <v>30</v>
      </c>
      <c r="AA38">
        <f t="shared" si="17"/>
        <v>40</v>
      </c>
      <c r="AB38">
        <f t="shared" si="18"/>
        <v>30</v>
      </c>
      <c r="AC38">
        <f t="shared" si="19"/>
        <v>40</v>
      </c>
      <c r="AD38">
        <f t="shared" si="20"/>
        <v>-116.22000000000003</v>
      </c>
      <c r="AE38">
        <f t="shared" si="21"/>
        <v>-296.40000000000009</v>
      </c>
      <c r="AF38">
        <f t="shared" si="22"/>
        <v>63.829999999999984</v>
      </c>
      <c r="AG38">
        <f t="shared" si="23"/>
        <v>-104.22000000000003</v>
      </c>
    </row>
    <row r="39" spans="1:34" s="4" customFormat="1">
      <c r="A39" s="12" t="s">
        <v>26</v>
      </c>
      <c r="B39" s="12" t="s">
        <v>517</v>
      </c>
      <c r="C39" s="12" t="s">
        <v>518</v>
      </c>
      <c r="D39" s="12" t="s">
        <v>864</v>
      </c>
      <c r="E39" t="str">
        <f t="shared" si="10"/>
        <v>O</v>
      </c>
      <c r="F39" t="str">
        <f t="shared" si="11"/>
        <v>O</v>
      </c>
      <c r="G39" t="str">
        <f t="shared" si="12"/>
        <v>O</v>
      </c>
      <c r="H39" t="str">
        <f t="shared" si="13"/>
        <v>O</v>
      </c>
      <c r="I39" t="s">
        <v>519</v>
      </c>
      <c r="J39" t="s">
        <v>520</v>
      </c>
      <c r="K39" s="9">
        <f t="shared" si="0"/>
        <v>41.784685786421562</v>
      </c>
      <c r="L39" t="s">
        <v>522</v>
      </c>
      <c r="M39" s="9">
        <f t="shared" si="1"/>
        <v>41.753126356069274</v>
      </c>
      <c r="N39" s="4" t="s">
        <v>83</v>
      </c>
      <c r="O39" s="4" t="s">
        <v>386</v>
      </c>
      <c r="P39" s="4" t="s">
        <v>0</v>
      </c>
      <c r="Q39" t="s">
        <v>524</v>
      </c>
      <c r="R39" t="s">
        <v>525</v>
      </c>
      <c r="S39" s="9">
        <f t="shared" si="14"/>
        <v>0.20024474357548872</v>
      </c>
      <c r="T39" t="s">
        <v>527</v>
      </c>
      <c r="U39" s="9">
        <f t="shared" si="15"/>
        <v>0.1557459116698193</v>
      </c>
      <c r="V39" s="4" t="s">
        <v>84</v>
      </c>
      <c r="W39" s="4" t="s">
        <v>324</v>
      </c>
      <c r="X39" s="4" t="s">
        <v>0</v>
      </c>
      <c r="Y39" s="4" t="s">
        <v>108</v>
      </c>
      <c r="Z39">
        <f t="shared" si="16"/>
        <v>40</v>
      </c>
      <c r="AA39">
        <f t="shared" si="17"/>
        <v>0</v>
      </c>
      <c r="AB39">
        <f t="shared" si="18"/>
        <v>50</v>
      </c>
      <c r="AC39">
        <f t="shared" si="19"/>
        <v>20</v>
      </c>
      <c r="AD39">
        <f t="shared" si="20"/>
        <v>-105.92000000000002</v>
      </c>
      <c r="AE39">
        <f t="shared" si="21"/>
        <v>-0.18000000000000682</v>
      </c>
      <c r="AF39">
        <f t="shared" si="22"/>
        <v>-105.84</v>
      </c>
      <c r="AG39">
        <f t="shared" si="23"/>
        <v>-0.14000000000000057</v>
      </c>
    </row>
    <row r="40" spans="1:34">
      <c r="A40" t="s">
        <v>26</v>
      </c>
      <c r="B40" t="s">
        <v>529</v>
      </c>
      <c r="C40" t="s">
        <v>530</v>
      </c>
      <c r="D40" t="s">
        <v>2</v>
      </c>
      <c r="E40" t="str">
        <f t="shared" si="10"/>
        <v>O</v>
      </c>
      <c r="F40" t="str">
        <f t="shared" si="11"/>
        <v>O</v>
      </c>
      <c r="G40" t="str">
        <f t="shared" si="12"/>
        <v>O</v>
      </c>
      <c r="H40" t="str">
        <f t="shared" si="13"/>
        <v>O</v>
      </c>
      <c r="I40" t="s">
        <v>531</v>
      </c>
      <c r="J40" t="s">
        <v>532</v>
      </c>
      <c r="K40" s="9">
        <f t="shared" si="0"/>
        <v>10.315704805952132</v>
      </c>
      <c r="L40" t="s">
        <v>532</v>
      </c>
      <c r="M40" s="9">
        <f t="shared" si="1"/>
        <v>10.315704805952132</v>
      </c>
      <c r="N40" t="s">
        <v>59</v>
      </c>
      <c r="O40" t="s">
        <v>59</v>
      </c>
      <c r="P40" t="s">
        <v>2</v>
      </c>
      <c r="Q40" t="s">
        <v>534</v>
      </c>
      <c r="R40" t="s">
        <v>535</v>
      </c>
      <c r="S40" s="9">
        <f t="shared" si="14"/>
        <v>6.4139209702962603</v>
      </c>
      <c r="T40" t="s">
        <v>535</v>
      </c>
      <c r="U40" s="9">
        <f t="shared" si="15"/>
        <v>6.4139209702962603</v>
      </c>
      <c r="V40" t="s">
        <v>537</v>
      </c>
      <c r="W40" t="s">
        <v>537</v>
      </c>
      <c r="X40" t="s">
        <v>2</v>
      </c>
      <c r="Y40" t="s">
        <v>445</v>
      </c>
      <c r="Z40">
        <f t="shared" si="16"/>
        <v>30</v>
      </c>
      <c r="AA40">
        <f t="shared" si="17"/>
        <v>30</v>
      </c>
      <c r="AB40">
        <f t="shared" si="18"/>
        <v>280</v>
      </c>
      <c r="AC40">
        <f t="shared" si="19"/>
        <v>280</v>
      </c>
      <c r="AD40">
        <f t="shared" si="20"/>
        <v>71.819999999999936</v>
      </c>
      <c r="AE40">
        <f t="shared" si="21"/>
        <v>-33.20999999999998</v>
      </c>
      <c r="AF40">
        <f t="shared" si="22"/>
        <v>71.819999999999936</v>
      </c>
      <c r="AG40">
        <f t="shared" si="23"/>
        <v>-33.20999999999998</v>
      </c>
    </row>
    <row r="41" spans="1:34" s="4" customFormat="1">
      <c r="A41" s="13" t="s">
        <v>26</v>
      </c>
      <c r="B41" s="13" t="s">
        <v>529</v>
      </c>
      <c r="C41" s="13" t="s">
        <v>538</v>
      </c>
      <c r="D41" s="13" t="s">
        <v>863</v>
      </c>
      <c r="E41" t="str">
        <f t="shared" si="10"/>
        <v>O</v>
      </c>
      <c r="F41" t="str">
        <f t="shared" si="11"/>
        <v>O</v>
      </c>
      <c r="G41" t="str">
        <f t="shared" si="12"/>
        <v>O</v>
      </c>
      <c r="H41" t="str">
        <f t="shared" si="13"/>
        <v>O</v>
      </c>
      <c r="I41" t="s">
        <v>539</v>
      </c>
      <c r="J41" t="s">
        <v>540</v>
      </c>
      <c r="K41" s="9">
        <f t="shared" si="0"/>
        <v>16.456869110277658</v>
      </c>
      <c r="L41" t="s">
        <v>542</v>
      </c>
      <c r="M41" s="9">
        <f t="shared" si="1"/>
        <v>5.7077121875886387</v>
      </c>
      <c r="N41" s="4" t="s">
        <v>166</v>
      </c>
      <c r="O41" s="4" t="s">
        <v>241</v>
      </c>
      <c r="P41" s="4" t="s">
        <v>0</v>
      </c>
      <c r="Q41" t="s">
        <v>544</v>
      </c>
      <c r="R41" t="s">
        <v>545</v>
      </c>
      <c r="S41" s="9">
        <f t="shared" si="14"/>
        <v>22.842116335331845</v>
      </c>
      <c r="T41" t="s">
        <v>547</v>
      </c>
      <c r="U41" s="9">
        <f t="shared" si="15"/>
        <v>7.2357210476490961</v>
      </c>
      <c r="V41" s="4" t="s">
        <v>477</v>
      </c>
      <c r="W41" s="4" t="s">
        <v>114</v>
      </c>
      <c r="X41" s="4" t="s">
        <v>0</v>
      </c>
      <c r="Y41" s="4" t="s">
        <v>108</v>
      </c>
      <c r="Z41">
        <f t="shared" si="16"/>
        <v>250</v>
      </c>
      <c r="AA41">
        <f t="shared" si="17"/>
        <v>240</v>
      </c>
      <c r="AB41">
        <f t="shared" si="18"/>
        <v>180</v>
      </c>
      <c r="AC41">
        <f t="shared" si="19"/>
        <v>170</v>
      </c>
      <c r="AD41">
        <f t="shared" si="20"/>
        <v>261.07999999999993</v>
      </c>
      <c r="AE41">
        <f t="shared" si="21"/>
        <v>217.15999999999985</v>
      </c>
      <c r="AF41">
        <f t="shared" si="22"/>
        <v>90.549999999999955</v>
      </c>
      <c r="AG41">
        <f t="shared" si="23"/>
        <v>68.789999999999964</v>
      </c>
    </row>
    <row r="42" spans="1:34" s="4" customFormat="1">
      <c r="A42" s="13" t="s">
        <v>26</v>
      </c>
      <c r="B42" s="13" t="s">
        <v>549</v>
      </c>
      <c r="C42" s="13" t="s">
        <v>550</v>
      </c>
      <c r="D42" s="13" t="s">
        <v>863</v>
      </c>
      <c r="E42" t="str">
        <f t="shared" si="10"/>
        <v>X</v>
      </c>
      <c r="F42" t="str">
        <f t="shared" si="11"/>
        <v>O</v>
      </c>
      <c r="G42" t="str">
        <f t="shared" si="12"/>
        <v>O</v>
      </c>
      <c r="H42" t="str">
        <f t="shared" si="13"/>
        <v>O</v>
      </c>
      <c r="I42" t="s">
        <v>551</v>
      </c>
      <c r="J42" t="s">
        <v>552</v>
      </c>
      <c r="K42" s="9">
        <f t="shared" si="0"/>
        <v>15.509957754978872</v>
      </c>
      <c r="L42" t="s">
        <v>554</v>
      </c>
      <c r="M42" s="9">
        <f t="shared" si="1"/>
        <v>17.5747909302526</v>
      </c>
      <c r="N42" s="4" t="s">
        <v>83</v>
      </c>
      <c r="O42" s="4" t="s">
        <v>59</v>
      </c>
      <c r="P42" s="4" t="s">
        <v>1</v>
      </c>
      <c r="Q42" t="s">
        <v>556</v>
      </c>
      <c r="R42" t="s">
        <v>557</v>
      </c>
      <c r="S42" s="9">
        <f t="shared" si="14"/>
        <v>36.119797931200388</v>
      </c>
      <c r="T42" t="s">
        <v>559</v>
      </c>
      <c r="U42" s="9">
        <f t="shared" si="15"/>
        <v>16.899206158287221</v>
      </c>
      <c r="V42" s="4" t="s">
        <v>324</v>
      </c>
      <c r="W42" s="4" t="s">
        <v>324</v>
      </c>
      <c r="X42" s="4" t="s">
        <v>1</v>
      </c>
      <c r="Y42" s="4" t="s">
        <v>506</v>
      </c>
      <c r="Z42">
        <f t="shared" si="16"/>
        <v>40</v>
      </c>
      <c r="AA42">
        <f t="shared" si="17"/>
        <v>30</v>
      </c>
      <c r="AB42">
        <f t="shared" si="18"/>
        <v>20</v>
      </c>
      <c r="AC42">
        <f t="shared" si="19"/>
        <v>20</v>
      </c>
      <c r="AD42">
        <f t="shared" si="20"/>
        <v>35.97999999999999</v>
      </c>
      <c r="AE42">
        <f t="shared" si="21"/>
        <v>60.06</v>
      </c>
      <c r="AF42">
        <f t="shared" si="22"/>
        <v>-40.769999999999982</v>
      </c>
      <c r="AG42">
        <f t="shared" si="23"/>
        <v>28.099999999999994</v>
      </c>
    </row>
    <row r="43" spans="1:34" s="17" customFormat="1">
      <c r="A43" s="17" t="s">
        <v>26</v>
      </c>
      <c r="B43" s="17" t="s">
        <v>561</v>
      </c>
      <c r="C43" s="17" t="s">
        <v>562</v>
      </c>
      <c r="D43" s="17" t="s">
        <v>3</v>
      </c>
      <c r="E43" s="17" t="str">
        <f t="shared" si="10"/>
        <v>X</v>
      </c>
      <c r="F43" s="17" t="str">
        <f t="shared" si="11"/>
        <v>O</v>
      </c>
      <c r="G43" s="17" t="str">
        <f t="shared" si="12"/>
        <v>O</v>
      </c>
      <c r="H43" s="17" t="str">
        <f t="shared" si="13"/>
        <v>O</v>
      </c>
      <c r="I43" s="3" t="s">
        <v>563</v>
      </c>
      <c r="J43" s="3" t="s">
        <v>564</v>
      </c>
      <c r="K43" s="18">
        <f t="shared" si="0"/>
        <v>14.902412701896875</v>
      </c>
      <c r="L43" s="3" t="s">
        <v>566</v>
      </c>
      <c r="M43" s="18">
        <f t="shared" si="1"/>
        <v>24.864182626351322</v>
      </c>
      <c r="N43" s="3" t="s">
        <v>568</v>
      </c>
      <c r="O43" s="3" t="s">
        <v>568</v>
      </c>
      <c r="P43" s="3" t="s">
        <v>3</v>
      </c>
      <c r="Q43" s="3" t="s">
        <v>569</v>
      </c>
      <c r="R43" s="3" t="s">
        <v>570</v>
      </c>
      <c r="S43" s="18">
        <f t="shared" si="14"/>
        <v>37.960103497203896</v>
      </c>
      <c r="T43" s="3" t="s">
        <v>572</v>
      </c>
      <c r="U43" s="18">
        <f t="shared" si="15"/>
        <v>9.0393122443869327</v>
      </c>
      <c r="V43" s="3" t="s">
        <v>574</v>
      </c>
      <c r="W43" s="3" t="s">
        <v>42</v>
      </c>
      <c r="X43" s="3" t="s">
        <v>0</v>
      </c>
      <c r="Y43" s="3" t="s">
        <v>313</v>
      </c>
      <c r="Z43" s="17">
        <f t="shared" si="16"/>
        <v>500</v>
      </c>
      <c r="AA43" s="17">
        <f t="shared" si="17"/>
        <v>500</v>
      </c>
      <c r="AB43" s="17">
        <f t="shared" si="18"/>
        <v>340</v>
      </c>
      <c r="AC43" s="17">
        <f t="shared" si="19"/>
        <v>220</v>
      </c>
      <c r="AD43" s="17">
        <f t="shared" si="20"/>
        <v>-81.470000000000027</v>
      </c>
      <c r="AE43" s="17">
        <f t="shared" si="21"/>
        <v>45.47999999999999</v>
      </c>
      <c r="AF43" s="17">
        <f t="shared" si="22"/>
        <v>-135.93000000000006</v>
      </c>
      <c r="AG43" s="17">
        <f t="shared" si="23"/>
        <v>10.829999999999984</v>
      </c>
      <c r="AH43" s="19" t="s">
        <v>869</v>
      </c>
    </row>
    <row r="44" spans="1:34" s="3" customFormat="1">
      <c r="A44" s="2" t="s">
        <v>26</v>
      </c>
      <c r="B44" s="2" t="s">
        <v>575</v>
      </c>
      <c r="C44" s="2" t="s">
        <v>576</v>
      </c>
      <c r="D44" s="2" t="s">
        <v>862</v>
      </c>
      <c r="E44" t="str">
        <f t="shared" si="10"/>
        <v>X</v>
      </c>
      <c r="F44" t="str">
        <f t="shared" si="11"/>
        <v>X</v>
      </c>
      <c r="G44" t="str">
        <f t="shared" si="12"/>
        <v>O</v>
      </c>
      <c r="H44" t="str">
        <f t="shared" si="13"/>
        <v>O</v>
      </c>
      <c r="I44" s="3" t="s">
        <v>577</v>
      </c>
      <c r="J44" s="3" t="s">
        <v>578</v>
      </c>
      <c r="K44" s="9">
        <f t="shared" si="0"/>
        <v>16.613122010423361</v>
      </c>
      <c r="L44" s="3" t="s">
        <v>580</v>
      </c>
      <c r="M44" s="9">
        <f t="shared" si="1"/>
        <v>22.50822640627738</v>
      </c>
      <c r="N44" s="3" t="s">
        <v>35</v>
      </c>
      <c r="O44" s="3" t="s">
        <v>84</v>
      </c>
      <c r="P44" s="3" t="s">
        <v>1</v>
      </c>
      <c r="Q44" s="3" t="s">
        <v>582</v>
      </c>
      <c r="R44" s="3" t="s">
        <v>583</v>
      </c>
      <c r="S44" s="9">
        <f t="shared" si="14"/>
        <v>0.53438094773315059</v>
      </c>
      <c r="T44" s="3" t="s">
        <v>585</v>
      </c>
      <c r="U44" s="9">
        <f t="shared" si="15"/>
        <v>0.66858620857937856</v>
      </c>
      <c r="V44" s="3" t="s">
        <v>587</v>
      </c>
      <c r="W44" s="3" t="s">
        <v>588</v>
      </c>
      <c r="X44" s="3" t="s">
        <v>1</v>
      </c>
      <c r="Y44" s="3" t="s">
        <v>506</v>
      </c>
      <c r="Z44">
        <f t="shared" si="16"/>
        <v>90</v>
      </c>
      <c r="AA44">
        <f t="shared" si="17"/>
        <v>50</v>
      </c>
      <c r="AB44">
        <f t="shared" si="18"/>
        <v>1720</v>
      </c>
      <c r="AC44">
        <f t="shared" si="19"/>
        <v>1670</v>
      </c>
      <c r="AD44">
        <f t="shared" si="20"/>
        <v>-255.97000000000003</v>
      </c>
      <c r="AE44">
        <f t="shared" si="21"/>
        <v>2.1899999999999977</v>
      </c>
      <c r="AF44">
        <f t="shared" si="22"/>
        <v>-346.79999999999995</v>
      </c>
      <c r="AG44">
        <f t="shared" si="23"/>
        <v>-2.7400000000000091</v>
      </c>
      <c r="AH44" s="7" t="s">
        <v>869</v>
      </c>
    </row>
    <row r="45" spans="1:34" s="14" customFormat="1">
      <c r="A45" s="14" t="s">
        <v>26</v>
      </c>
      <c r="B45" s="14" t="s">
        <v>589</v>
      </c>
      <c r="C45" s="14" t="s">
        <v>590</v>
      </c>
      <c r="D45" s="14" t="s">
        <v>862</v>
      </c>
      <c r="E45" s="14" t="str">
        <f t="shared" si="10"/>
        <v>O</v>
      </c>
      <c r="F45" s="14" t="str">
        <f t="shared" si="11"/>
        <v>O</v>
      </c>
      <c r="G45" s="14" t="str">
        <f t="shared" si="12"/>
        <v>O</v>
      </c>
      <c r="H45" s="14" t="str">
        <f t="shared" si="13"/>
        <v>X</v>
      </c>
      <c r="I45" s="3" t="s">
        <v>591</v>
      </c>
      <c r="J45" s="3" t="s">
        <v>592</v>
      </c>
      <c r="K45" s="15">
        <f t="shared" si="0"/>
        <v>19.722295688971183</v>
      </c>
      <c r="L45" s="3" t="s">
        <v>594</v>
      </c>
      <c r="M45" s="15">
        <f t="shared" si="1"/>
        <v>11.504892885480031</v>
      </c>
      <c r="N45" s="5" t="s">
        <v>377</v>
      </c>
      <c r="O45" s="5" t="s">
        <v>596</v>
      </c>
      <c r="P45" s="5" t="s">
        <v>0</v>
      </c>
      <c r="Q45" s="3" t="s">
        <v>597</v>
      </c>
      <c r="R45" s="3" t="s">
        <v>598</v>
      </c>
      <c r="S45" s="15">
        <f t="shared" si="14"/>
        <v>16.110239749047736</v>
      </c>
      <c r="T45" s="3" t="s">
        <v>600</v>
      </c>
      <c r="U45" s="15">
        <f t="shared" si="15"/>
        <v>7.2820972440062732</v>
      </c>
      <c r="V45" s="5" t="s">
        <v>301</v>
      </c>
      <c r="W45" s="5" t="s">
        <v>300</v>
      </c>
      <c r="X45" s="5" t="s">
        <v>1</v>
      </c>
      <c r="Y45" s="5" t="s">
        <v>29</v>
      </c>
      <c r="Z45" s="14">
        <f t="shared" si="16"/>
        <v>40</v>
      </c>
      <c r="AA45" s="14">
        <f t="shared" si="17"/>
        <v>10</v>
      </c>
      <c r="AB45" s="14">
        <f t="shared" si="18"/>
        <v>420</v>
      </c>
      <c r="AC45" s="14">
        <f t="shared" si="19"/>
        <v>430</v>
      </c>
      <c r="AD45" s="14">
        <f t="shared" si="20"/>
        <v>-74.57000000000005</v>
      </c>
      <c r="AE45" s="14">
        <f t="shared" si="21"/>
        <v>-7.1900000000000048</v>
      </c>
      <c r="AF45" s="14">
        <f t="shared" si="22"/>
        <v>-43.5</v>
      </c>
      <c r="AG45" s="14">
        <f t="shared" si="23"/>
        <v>-3.25</v>
      </c>
      <c r="AH45" s="14" t="s">
        <v>873</v>
      </c>
    </row>
    <row r="46" spans="1:34" s="20" customFormat="1">
      <c r="A46" s="20" t="s">
        <v>26</v>
      </c>
      <c r="B46" s="20" t="s">
        <v>602</v>
      </c>
      <c r="C46" s="20" t="s">
        <v>603</v>
      </c>
      <c r="D46" s="20" t="s">
        <v>3</v>
      </c>
      <c r="E46" s="20" t="str">
        <f t="shared" si="10"/>
        <v>X</v>
      </c>
      <c r="F46" s="20" t="str">
        <f t="shared" si="11"/>
        <v>O</v>
      </c>
      <c r="G46" s="20" t="str">
        <f t="shared" si="12"/>
        <v>X</v>
      </c>
      <c r="H46" s="20" t="str">
        <f t="shared" si="13"/>
        <v>O</v>
      </c>
      <c r="I46" s="3" t="s">
        <v>604</v>
      </c>
      <c r="J46" s="3" t="s">
        <v>605</v>
      </c>
      <c r="K46" s="21">
        <f t="shared" si="0"/>
        <v>8.797595190380763</v>
      </c>
      <c r="L46" s="3" t="s">
        <v>607</v>
      </c>
      <c r="M46" s="21">
        <f t="shared" si="1"/>
        <v>24.559118236472937</v>
      </c>
      <c r="N46" s="3" t="s">
        <v>386</v>
      </c>
      <c r="O46" s="3" t="s">
        <v>609</v>
      </c>
      <c r="P46" s="3" t="s">
        <v>3</v>
      </c>
      <c r="Q46" s="3" t="s">
        <v>610</v>
      </c>
      <c r="R46" s="3" t="s">
        <v>611</v>
      </c>
      <c r="S46" s="21">
        <f t="shared" si="14"/>
        <v>29.447002548169344</v>
      </c>
      <c r="T46" s="3" t="s">
        <v>613</v>
      </c>
      <c r="U46" s="21">
        <f t="shared" si="15"/>
        <v>2.6822835173677855</v>
      </c>
      <c r="V46" s="3" t="s">
        <v>324</v>
      </c>
      <c r="W46" s="3" t="s">
        <v>386</v>
      </c>
      <c r="X46" s="3" t="s">
        <v>0</v>
      </c>
      <c r="Y46" s="3" t="s">
        <v>313</v>
      </c>
      <c r="Z46" s="20">
        <f t="shared" si="16"/>
        <v>0</v>
      </c>
      <c r="AA46" s="20">
        <f t="shared" si="17"/>
        <v>20</v>
      </c>
      <c r="AB46" s="20">
        <f t="shared" si="18"/>
        <v>20</v>
      </c>
      <c r="AC46" s="20">
        <f t="shared" si="19"/>
        <v>0</v>
      </c>
      <c r="AD46" s="20">
        <f t="shared" si="20"/>
        <v>-8.7800000000000011</v>
      </c>
      <c r="AE46" s="20">
        <f t="shared" si="21"/>
        <v>65.87</v>
      </c>
      <c r="AF46" s="20">
        <f t="shared" si="22"/>
        <v>-24.509999999999991</v>
      </c>
      <c r="AG46" s="20">
        <f t="shared" si="23"/>
        <v>6</v>
      </c>
      <c r="AH46" s="22" t="s">
        <v>874</v>
      </c>
    </row>
    <row r="47" spans="1:34" s="4" customFormat="1">
      <c r="A47" s="12" t="s">
        <v>26</v>
      </c>
      <c r="B47" s="12" t="s">
        <v>615</v>
      </c>
      <c r="C47" s="12" t="s">
        <v>616</v>
      </c>
      <c r="D47" s="12" t="s">
        <v>864</v>
      </c>
      <c r="E47" t="str">
        <f t="shared" si="10"/>
        <v>X</v>
      </c>
      <c r="F47" t="str">
        <f t="shared" si="11"/>
        <v>O</v>
      </c>
      <c r="G47" t="str">
        <f t="shared" si="12"/>
        <v>O</v>
      </c>
      <c r="H47" t="str">
        <f t="shared" si="13"/>
        <v>O</v>
      </c>
      <c r="I47" t="s">
        <v>617</v>
      </c>
      <c r="J47" t="s">
        <v>618</v>
      </c>
      <c r="K47" s="9">
        <f t="shared" si="0"/>
        <v>1.5297611103696904</v>
      </c>
      <c r="L47" t="s">
        <v>620</v>
      </c>
      <c r="M47" s="9">
        <f t="shared" si="1"/>
        <v>10.613239023088216</v>
      </c>
      <c r="N47" s="4" t="s">
        <v>35</v>
      </c>
      <c r="O47" s="4" t="s">
        <v>622</v>
      </c>
      <c r="P47" s="4" t="s">
        <v>1</v>
      </c>
      <c r="Q47" t="s">
        <v>623</v>
      </c>
      <c r="R47" t="s">
        <v>624</v>
      </c>
      <c r="S47" s="9">
        <f t="shared" si="14"/>
        <v>11.217815614617949</v>
      </c>
      <c r="T47" t="s">
        <v>626</v>
      </c>
      <c r="U47" s="9">
        <f t="shared" si="15"/>
        <v>5.8918189368770886</v>
      </c>
      <c r="V47" s="4" t="s">
        <v>281</v>
      </c>
      <c r="W47" s="4" t="s">
        <v>83</v>
      </c>
      <c r="X47" s="4" t="s">
        <v>0</v>
      </c>
      <c r="Y47" s="4" t="s">
        <v>29</v>
      </c>
      <c r="Z47">
        <f t="shared" si="16"/>
        <v>90</v>
      </c>
      <c r="AA47">
        <f t="shared" si="17"/>
        <v>30</v>
      </c>
      <c r="AB47">
        <f t="shared" si="18"/>
        <v>130</v>
      </c>
      <c r="AC47">
        <f t="shared" si="19"/>
        <v>40</v>
      </c>
      <c r="AD47">
        <f t="shared" si="20"/>
        <v>-9.1700000000000728</v>
      </c>
      <c r="AE47">
        <f t="shared" si="21"/>
        <v>21.610000000000014</v>
      </c>
      <c r="AF47">
        <f t="shared" si="22"/>
        <v>-63.620000000000005</v>
      </c>
      <c r="AG47">
        <f t="shared" si="23"/>
        <v>11.350000000000023</v>
      </c>
    </row>
    <row r="48" spans="1:34" s="20" customFormat="1">
      <c r="A48" s="20" t="s">
        <v>26</v>
      </c>
      <c r="B48" s="20" t="s">
        <v>628</v>
      </c>
      <c r="C48" s="20" t="s">
        <v>629</v>
      </c>
      <c r="D48" s="20" t="s">
        <v>862</v>
      </c>
      <c r="E48" s="20" t="e">
        <f t="shared" si="10"/>
        <v>#VALUE!</v>
      </c>
      <c r="F48" s="20" t="str">
        <f t="shared" si="11"/>
        <v>O</v>
      </c>
      <c r="G48" s="20" t="str">
        <f t="shared" si="12"/>
        <v>O</v>
      </c>
      <c r="H48" s="20" t="str">
        <f t="shared" si="13"/>
        <v>O</v>
      </c>
      <c r="I48" s="2"/>
      <c r="J48" s="2"/>
      <c r="K48" s="21" t="s">
        <v>880</v>
      </c>
      <c r="L48" s="2"/>
      <c r="M48" s="21" t="s">
        <v>880</v>
      </c>
      <c r="N48" s="2"/>
      <c r="O48" s="2"/>
      <c r="P48" s="2" t="s">
        <v>3</v>
      </c>
      <c r="Q48" s="2" t="s">
        <v>630</v>
      </c>
      <c r="R48" s="2" t="s">
        <v>631</v>
      </c>
      <c r="S48" s="21">
        <f t="shared" si="14"/>
        <v>22.064489961468269</v>
      </c>
      <c r="T48" s="2" t="s">
        <v>632</v>
      </c>
      <c r="U48" s="21">
        <f t="shared" si="15"/>
        <v>4.3196106266477434</v>
      </c>
      <c r="V48" s="2" t="s">
        <v>59</v>
      </c>
      <c r="W48" s="2" t="s">
        <v>430</v>
      </c>
      <c r="X48" s="2" t="s">
        <v>0</v>
      </c>
      <c r="Y48" s="2" t="s">
        <v>313</v>
      </c>
      <c r="Z48" s="20">
        <f t="shared" si="16"/>
        <v>0</v>
      </c>
      <c r="AA48" s="20">
        <f t="shared" si="17"/>
        <v>0</v>
      </c>
      <c r="AB48" s="20">
        <f t="shared" si="18"/>
        <v>30</v>
      </c>
      <c r="AC48" s="20">
        <f t="shared" si="19"/>
        <v>10</v>
      </c>
      <c r="AD48" s="20">
        <f t="shared" si="20"/>
        <v>0</v>
      </c>
      <c r="AE48" s="20">
        <f t="shared" si="21"/>
        <v>-43.52000000000001</v>
      </c>
      <c r="AF48" s="20">
        <f t="shared" si="22"/>
        <v>0</v>
      </c>
      <c r="AG48" s="20">
        <f t="shared" si="23"/>
        <v>-8.5200000000000102</v>
      </c>
      <c r="AH48" s="20" t="s">
        <v>874</v>
      </c>
    </row>
    <row r="49" spans="1:34" s="4" customFormat="1">
      <c r="A49" s="13" t="s">
        <v>26</v>
      </c>
      <c r="B49" s="13" t="s">
        <v>628</v>
      </c>
      <c r="C49" s="13" t="s">
        <v>634</v>
      </c>
      <c r="D49" s="13" t="s">
        <v>863</v>
      </c>
      <c r="E49" t="str">
        <f t="shared" si="10"/>
        <v>O</v>
      </c>
      <c r="F49" t="str">
        <f t="shared" si="11"/>
        <v>O</v>
      </c>
      <c r="G49" t="str">
        <f t="shared" si="12"/>
        <v>O</v>
      </c>
      <c r="H49" t="str">
        <f t="shared" si="13"/>
        <v>X</v>
      </c>
      <c r="I49" s="3" t="s">
        <v>635</v>
      </c>
      <c r="J49" s="3" t="s">
        <v>636</v>
      </c>
      <c r="K49" s="9">
        <f t="shared" ref="K49:K66" si="24">ABS(J49-I49)/I49*100</f>
        <v>89.076532827532631</v>
      </c>
      <c r="L49" s="3" t="s">
        <v>638</v>
      </c>
      <c r="M49" s="9">
        <f t="shared" ref="M49:M66" si="25">ABS(L49-I49)/I49*100</f>
        <v>43.858406270710034</v>
      </c>
      <c r="N49" s="4" t="s">
        <v>324</v>
      </c>
      <c r="O49" s="4" t="s">
        <v>386</v>
      </c>
      <c r="P49" s="4" t="s">
        <v>0</v>
      </c>
      <c r="Q49" s="3" t="s">
        <v>640</v>
      </c>
      <c r="R49" s="3" t="s">
        <v>641</v>
      </c>
      <c r="S49" s="9">
        <f t="shared" si="14"/>
        <v>77.89598108747046</v>
      </c>
      <c r="T49" s="3" t="s">
        <v>643</v>
      </c>
      <c r="U49" s="9">
        <f t="shared" si="15"/>
        <v>4.7872340425532052</v>
      </c>
      <c r="V49" s="4" t="s">
        <v>83</v>
      </c>
      <c r="W49" s="4" t="s">
        <v>645</v>
      </c>
      <c r="X49" s="4" t="s">
        <v>1</v>
      </c>
      <c r="Y49" s="4" t="s">
        <v>29</v>
      </c>
      <c r="Z49">
        <f t="shared" si="16"/>
        <v>20</v>
      </c>
      <c r="AA49">
        <f t="shared" si="17"/>
        <v>0</v>
      </c>
      <c r="AB49">
        <f t="shared" si="18"/>
        <v>40</v>
      </c>
      <c r="AC49">
        <f t="shared" si="19"/>
        <v>360</v>
      </c>
      <c r="AD49">
        <f t="shared" si="20"/>
        <v>389.79</v>
      </c>
      <c r="AE49">
        <f t="shared" si="21"/>
        <v>65.900000000000006</v>
      </c>
      <c r="AF49">
        <f t="shared" si="22"/>
        <v>191.92000000000002</v>
      </c>
      <c r="AG49">
        <f t="shared" si="23"/>
        <v>4.0500000000000114</v>
      </c>
    </row>
    <row r="50" spans="1:34" s="3" customFormat="1">
      <c r="A50" s="2" t="s">
        <v>26</v>
      </c>
      <c r="B50" s="2" t="s">
        <v>646</v>
      </c>
      <c r="C50" s="2" t="s">
        <v>647</v>
      </c>
      <c r="D50" s="2" t="s">
        <v>862</v>
      </c>
      <c r="E50" t="str">
        <f t="shared" si="10"/>
        <v>O</v>
      </c>
      <c r="F50" t="str">
        <f t="shared" si="11"/>
        <v>X</v>
      </c>
      <c r="G50" t="str">
        <f t="shared" si="12"/>
        <v>O</v>
      </c>
      <c r="H50" t="str">
        <f t="shared" si="13"/>
        <v>O</v>
      </c>
      <c r="I50" s="3" t="s">
        <v>648</v>
      </c>
      <c r="J50" s="3" t="s">
        <v>649</v>
      </c>
      <c r="K50" s="9">
        <f t="shared" si="24"/>
        <v>60.09249858996052</v>
      </c>
      <c r="L50" s="3" t="s">
        <v>651</v>
      </c>
      <c r="M50" s="9">
        <f t="shared" si="25"/>
        <v>58.143260011280319</v>
      </c>
      <c r="N50" s="3" t="s">
        <v>653</v>
      </c>
      <c r="O50" s="3" t="s">
        <v>653</v>
      </c>
      <c r="P50" s="3" t="s">
        <v>1</v>
      </c>
      <c r="Q50" s="3" t="s">
        <v>654</v>
      </c>
      <c r="R50" s="3" t="s">
        <v>655</v>
      </c>
      <c r="S50" s="9">
        <f t="shared" si="14"/>
        <v>0.12289373788130886</v>
      </c>
      <c r="T50" s="3" t="s">
        <v>657</v>
      </c>
      <c r="U50" s="9">
        <f t="shared" si="15"/>
        <v>4.6371903760548268</v>
      </c>
      <c r="V50" s="3" t="s">
        <v>659</v>
      </c>
      <c r="W50" s="3" t="s">
        <v>660</v>
      </c>
      <c r="X50" s="3" t="s">
        <v>1</v>
      </c>
      <c r="Y50" s="3" t="s">
        <v>506</v>
      </c>
      <c r="Z50">
        <f t="shared" si="16"/>
        <v>3080</v>
      </c>
      <c r="AA50">
        <f t="shared" si="17"/>
        <v>3080</v>
      </c>
      <c r="AB50">
        <f t="shared" si="18"/>
        <v>620</v>
      </c>
      <c r="AC50">
        <f t="shared" si="19"/>
        <v>610</v>
      </c>
      <c r="AD50">
        <f t="shared" si="20"/>
        <v>-266.36</v>
      </c>
      <c r="AE50">
        <f t="shared" si="21"/>
        <v>0.44999999999998863</v>
      </c>
      <c r="AF50">
        <f t="shared" si="22"/>
        <v>-257.72000000000003</v>
      </c>
      <c r="AG50">
        <f t="shared" si="23"/>
        <v>16.979999999999961</v>
      </c>
      <c r="AH50" s="7" t="s">
        <v>869</v>
      </c>
    </row>
    <row r="51" spans="1:34" s="3" customFormat="1">
      <c r="A51" s="2" t="s">
        <v>26</v>
      </c>
      <c r="B51" s="2" t="s">
        <v>661</v>
      </c>
      <c r="C51" s="2" t="s">
        <v>662</v>
      </c>
      <c r="D51" s="2" t="s">
        <v>862</v>
      </c>
      <c r="E51" t="str">
        <f t="shared" si="10"/>
        <v>O</v>
      </c>
      <c r="F51" t="str">
        <f t="shared" si="11"/>
        <v>O</v>
      </c>
      <c r="G51" t="str">
        <f t="shared" si="12"/>
        <v>O</v>
      </c>
      <c r="H51" t="str">
        <f t="shared" si="13"/>
        <v>O</v>
      </c>
      <c r="I51" s="3" t="s">
        <v>663</v>
      </c>
      <c r="J51" s="3" t="s">
        <v>664</v>
      </c>
      <c r="K51" s="9">
        <f t="shared" si="24"/>
        <v>31.359803549825749</v>
      </c>
      <c r="L51" s="3" t="s">
        <v>664</v>
      </c>
      <c r="M51" s="9">
        <f t="shared" si="25"/>
        <v>31.359803549825749</v>
      </c>
      <c r="N51" s="3" t="s">
        <v>666</v>
      </c>
      <c r="O51" s="3" t="s">
        <v>666</v>
      </c>
      <c r="P51" s="3" t="s">
        <v>2</v>
      </c>
      <c r="Q51" s="3" t="s">
        <v>667</v>
      </c>
      <c r="R51" s="3" t="s">
        <v>668</v>
      </c>
      <c r="S51" s="9">
        <f t="shared" si="14"/>
        <v>4.8212447189974021</v>
      </c>
      <c r="T51" s="3" t="s">
        <v>668</v>
      </c>
      <c r="U51" s="9">
        <f t="shared" si="15"/>
        <v>4.8212447189974021</v>
      </c>
      <c r="V51" s="3" t="s">
        <v>84</v>
      </c>
      <c r="W51" s="3" t="s">
        <v>84</v>
      </c>
      <c r="X51" s="3" t="s">
        <v>2</v>
      </c>
      <c r="Y51" s="3" t="s">
        <v>445</v>
      </c>
      <c r="Z51">
        <f t="shared" si="16"/>
        <v>4300</v>
      </c>
      <c r="AA51">
        <f t="shared" si="17"/>
        <v>4300</v>
      </c>
      <c r="AB51">
        <f t="shared" si="18"/>
        <v>50</v>
      </c>
      <c r="AC51">
        <f t="shared" si="19"/>
        <v>50</v>
      </c>
      <c r="AD51">
        <f t="shared" si="20"/>
        <v>173.67999999999995</v>
      </c>
      <c r="AE51">
        <f t="shared" si="21"/>
        <v>27.159999999999968</v>
      </c>
      <c r="AF51">
        <f t="shared" si="22"/>
        <v>173.67999999999995</v>
      </c>
      <c r="AG51">
        <f t="shared" si="23"/>
        <v>27.159999999999968</v>
      </c>
      <c r="AH51" s="7" t="s">
        <v>869</v>
      </c>
    </row>
    <row r="52" spans="1:34" s="17" customFormat="1">
      <c r="A52" s="17" t="s">
        <v>26</v>
      </c>
      <c r="B52" s="17" t="s">
        <v>661</v>
      </c>
      <c r="C52" s="17" t="s">
        <v>670</v>
      </c>
      <c r="D52" s="17" t="s">
        <v>3</v>
      </c>
      <c r="E52" s="17" t="str">
        <f t="shared" si="10"/>
        <v>X</v>
      </c>
      <c r="F52" s="17" t="str">
        <f t="shared" si="11"/>
        <v>O</v>
      </c>
      <c r="G52" s="17" t="str">
        <f t="shared" si="12"/>
        <v>X</v>
      </c>
      <c r="H52" s="17" t="str">
        <f t="shared" si="13"/>
        <v>O</v>
      </c>
      <c r="I52" s="3" t="s">
        <v>671</v>
      </c>
      <c r="J52" s="3" t="s">
        <v>672</v>
      </c>
      <c r="K52" s="18">
        <f t="shared" si="24"/>
        <v>19.540095031383828</v>
      </c>
      <c r="L52" s="3" t="s">
        <v>674</v>
      </c>
      <c r="M52" s="18">
        <f t="shared" si="25"/>
        <v>56.872176922625684</v>
      </c>
      <c r="N52" s="3" t="s">
        <v>676</v>
      </c>
      <c r="O52" s="3" t="s">
        <v>677</v>
      </c>
      <c r="P52" s="3" t="s">
        <v>3</v>
      </c>
      <c r="Q52" s="3" t="s">
        <v>678</v>
      </c>
      <c r="R52" s="3" t="s">
        <v>679</v>
      </c>
      <c r="S52" s="18">
        <f t="shared" si="14"/>
        <v>141.13236322043591</v>
      </c>
      <c r="T52" s="3" t="s">
        <v>681</v>
      </c>
      <c r="U52" s="18">
        <f t="shared" si="15"/>
        <v>8.9851941284869969</v>
      </c>
      <c r="V52" s="3" t="s">
        <v>683</v>
      </c>
      <c r="W52" s="3" t="s">
        <v>294</v>
      </c>
      <c r="X52" s="3" t="s">
        <v>0</v>
      </c>
      <c r="Y52" s="3" t="s">
        <v>313</v>
      </c>
      <c r="Z52" s="17">
        <f t="shared" si="16"/>
        <v>3630</v>
      </c>
      <c r="AA52" s="17">
        <f t="shared" si="17"/>
        <v>3690</v>
      </c>
      <c r="AB52" s="17">
        <f t="shared" si="18"/>
        <v>640</v>
      </c>
      <c r="AC52" s="17">
        <f t="shared" si="19"/>
        <v>500</v>
      </c>
      <c r="AD52" s="17">
        <f t="shared" si="20"/>
        <v>-166.55000000000007</v>
      </c>
      <c r="AE52" s="17">
        <f t="shared" si="21"/>
        <v>222.10000000000002</v>
      </c>
      <c r="AF52" s="17">
        <f t="shared" si="22"/>
        <v>-484.75</v>
      </c>
      <c r="AG52" s="17">
        <f t="shared" si="23"/>
        <v>14.139999999999986</v>
      </c>
      <c r="AH52" s="19" t="s">
        <v>869</v>
      </c>
    </row>
    <row r="53" spans="1:34" s="17" customFormat="1">
      <c r="A53" s="17" t="s">
        <v>26</v>
      </c>
      <c r="B53" s="17" t="s">
        <v>684</v>
      </c>
      <c r="C53" s="17" t="s">
        <v>685</v>
      </c>
      <c r="D53" s="17" t="s">
        <v>3</v>
      </c>
      <c r="E53" s="17" t="str">
        <f t="shared" si="10"/>
        <v>O</v>
      </c>
      <c r="F53" s="17" t="str">
        <f t="shared" si="11"/>
        <v>X</v>
      </c>
      <c r="G53" s="17" t="str">
        <f t="shared" si="12"/>
        <v>O</v>
      </c>
      <c r="H53" s="17" t="str">
        <f t="shared" si="13"/>
        <v>O</v>
      </c>
      <c r="I53" s="3" t="s">
        <v>687</v>
      </c>
      <c r="J53" s="3" t="s">
        <v>688</v>
      </c>
      <c r="K53" s="18">
        <f t="shared" si="24"/>
        <v>48.238318463632254</v>
      </c>
      <c r="L53" s="3" t="s">
        <v>690</v>
      </c>
      <c r="M53" s="18">
        <f t="shared" si="25"/>
        <v>19.926659609859382</v>
      </c>
      <c r="N53" s="3" t="s">
        <v>281</v>
      </c>
      <c r="O53" s="3" t="s">
        <v>324</v>
      </c>
      <c r="P53" s="3" t="s">
        <v>0</v>
      </c>
      <c r="Q53" s="3" t="s">
        <v>691</v>
      </c>
      <c r="R53" s="3" t="s">
        <v>692</v>
      </c>
      <c r="S53" s="18">
        <f t="shared" si="14"/>
        <v>0.64673041844011714</v>
      </c>
      <c r="T53" s="3" t="s">
        <v>694</v>
      </c>
      <c r="U53" s="18">
        <f t="shared" si="15"/>
        <v>21.690343264606714</v>
      </c>
      <c r="V53" s="3" t="s">
        <v>696</v>
      </c>
      <c r="W53" s="3" t="s">
        <v>696</v>
      </c>
      <c r="X53" s="3" t="s">
        <v>3</v>
      </c>
      <c r="Y53" s="3" t="s">
        <v>686</v>
      </c>
      <c r="Z53" s="17">
        <f t="shared" si="16"/>
        <v>130</v>
      </c>
      <c r="AA53" s="17">
        <f t="shared" si="17"/>
        <v>20</v>
      </c>
      <c r="AB53" s="17">
        <f t="shared" si="18"/>
        <v>120</v>
      </c>
      <c r="AC53" s="17">
        <f t="shared" si="19"/>
        <v>120</v>
      </c>
      <c r="AD53" s="17">
        <f t="shared" si="20"/>
        <v>127.60000000000002</v>
      </c>
      <c r="AE53" s="17">
        <f t="shared" si="21"/>
        <v>1.1700000000000159</v>
      </c>
      <c r="AF53" s="17">
        <f t="shared" si="22"/>
        <v>52.710000000000036</v>
      </c>
      <c r="AG53" s="17">
        <f t="shared" si="23"/>
        <v>-39.240000000000009</v>
      </c>
      <c r="AH53" s="19" t="s">
        <v>869</v>
      </c>
    </row>
    <row r="54" spans="1:34" s="17" customFormat="1">
      <c r="A54" s="17" t="s">
        <v>26</v>
      </c>
      <c r="B54" s="17" t="s">
        <v>697</v>
      </c>
      <c r="C54" s="17" t="s">
        <v>698</v>
      </c>
      <c r="D54" s="17" t="s">
        <v>862</v>
      </c>
      <c r="E54" s="17" t="str">
        <f t="shared" si="10"/>
        <v>X</v>
      </c>
      <c r="F54" s="17" t="str">
        <f t="shared" si="11"/>
        <v>O</v>
      </c>
      <c r="G54" s="17" t="str">
        <f t="shared" si="12"/>
        <v>O</v>
      </c>
      <c r="H54" s="17" t="str">
        <f t="shared" si="13"/>
        <v>O</v>
      </c>
      <c r="I54" s="3" t="s">
        <v>699</v>
      </c>
      <c r="J54" s="3" t="s">
        <v>700</v>
      </c>
      <c r="K54" s="18">
        <f t="shared" si="24"/>
        <v>19.134331570532535</v>
      </c>
      <c r="L54" s="3" t="s">
        <v>702</v>
      </c>
      <c r="M54" s="18">
        <f t="shared" si="25"/>
        <v>60.299317427130738</v>
      </c>
      <c r="N54" s="3" t="s">
        <v>58</v>
      </c>
      <c r="O54" s="3" t="s">
        <v>59</v>
      </c>
      <c r="P54" s="3" t="s">
        <v>1</v>
      </c>
      <c r="Q54" s="3" t="s">
        <v>704</v>
      </c>
      <c r="R54" s="3" t="s">
        <v>705</v>
      </c>
      <c r="S54" s="18">
        <f t="shared" si="14"/>
        <v>64.522005944961165</v>
      </c>
      <c r="T54" s="3" t="s">
        <v>707</v>
      </c>
      <c r="U54" s="18">
        <f t="shared" si="15"/>
        <v>9.1283919838910688</v>
      </c>
      <c r="V54" s="3" t="s">
        <v>43</v>
      </c>
      <c r="W54" s="3" t="s">
        <v>52</v>
      </c>
      <c r="X54" s="3" t="s">
        <v>0</v>
      </c>
      <c r="Y54" s="3" t="s">
        <v>29</v>
      </c>
      <c r="Z54" s="17">
        <f t="shared" si="16"/>
        <v>70</v>
      </c>
      <c r="AA54" s="17">
        <f t="shared" si="17"/>
        <v>30</v>
      </c>
      <c r="AB54" s="17">
        <f t="shared" si="18"/>
        <v>160</v>
      </c>
      <c r="AC54" s="17">
        <f t="shared" si="19"/>
        <v>110</v>
      </c>
      <c r="AD54" s="17">
        <f t="shared" si="20"/>
        <v>-248.93000000000006</v>
      </c>
      <c r="AE54" s="17">
        <f t="shared" si="21"/>
        <v>134.58000000000001</v>
      </c>
      <c r="AF54" s="17">
        <f t="shared" si="22"/>
        <v>-784.47</v>
      </c>
      <c r="AG54" s="17">
        <f t="shared" si="23"/>
        <v>19.039999999999992</v>
      </c>
      <c r="AH54" s="19" t="s">
        <v>869</v>
      </c>
    </row>
    <row r="55" spans="1:34" s="3" customFormat="1">
      <c r="A55" s="12" t="s">
        <v>710</v>
      </c>
      <c r="B55" s="12" t="s">
        <v>711</v>
      </c>
      <c r="C55" s="12" t="s">
        <v>712</v>
      </c>
      <c r="D55" s="12" t="s">
        <v>0</v>
      </c>
      <c r="E55" t="str">
        <f t="shared" si="10"/>
        <v>O</v>
      </c>
      <c r="F55" t="str">
        <f t="shared" si="11"/>
        <v>O</v>
      </c>
      <c r="G55" t="str">
        <f t="shared" si="12"/>
        <v>O</v>
      </c>
      <c r="H55" t="str">
        <f t="shared" si="13"/>
        <v>O</v>
      </c>
      <c r="I55" s="3" t="s">
        <v>709</v>
      </c>
      <c r="J55" s="3" t="s">
        <v>713</v>
      </c>
      <c r="K55" s="9">
        <f t="shared" si="24"/>
        <v>718.64003804089384</v>
      </c>
      <c r="L55" s="3" t="s">
        <v>715</v>
      </c>
      <c r="M55" s="9">
        <f t="shared" si="25"/>
        <v>288.04089396100807</v>
      </c>
      <c r="N55" s="3" t="s">
        <v>205</v>
      </c>
      <c r="O55" s="3" t="s">
        <v>43</v>
      </c>
      <c r="P55" s="3" t="s">
        <v>0</v>
      </c>
      <c r="Q55" s="3" t="s">
        <v>717</v>
      </c>
      <c r="R55" s="3" t="s">
        <v>718</v>
      </c>
      <c r="S55" s="9">
        <f t="shared" si="14"/>
        <v>109.10457107075769</v>
      </c>
      <c r="T55" s="3" t="s">
        <v>720</v>
      </c>
      <c r="U55" s="9">
        <f t="shared" si="15"/>
        <v>0.95178459611772714</v>
      </c>
      <c r="V55" s="3" t="s">
        <v>477</v>
      </c>
      <c r="W55" s="3" t="s">
        <v>377</v>
      </c>
      <c r="X55" s="3" t="s">
        <v>0</v>
      </c>
      <c r="Y55" s="3" t="s">
        <v>108</v>
      </c>
      <c r="Z55">
        <f t="shared" si="16"/>
        <v>270</v>
      </c>
      <c r="AA55">
        <f t="shared" si="17"/>
        <v>160</v>
      </c>
      <c r="AB55">
        <f t="shared" si="18"/>
        <v>180</v>
      </c>
      <c r="AC55">
        <f t="shared" si="19"/>
        <v>40</v>
      </c>
      <c r="AD55">
        <f t="shared" si="20"/>
        <v>302.26</v>
      </c>
      <c r="AE55">
        <f t="shared" si="21"/>
        <v>87.12</v>
      </c>
      <c r="AF55">
        <f t="shared" si="22"/>
        <v>121.15</v>
      </c>
      <c r="AG55">
        <f t="shared" si="23"/>
        <v>0.76000000000000512</v>
      </c>
    </row>
    <row r="56" spans="1:34" s="20" customFormat="1">
      <c r="A56" s="20" t="s">
        <v>710</v>
      </c>
      <c r="B56" s="20" t="s">
        <v>722</v>
      </c>
      <c r="C56" s="20" t="s">
        <v>723</v>
      </c>
      <c r="D56" s="20" t="s">
        <v>3</v>
      </c>
      <c r="E56" s="20" t="str">
        <f t="shared" si="10"/>
        <v>O</v>
      </c>
      <c r="F56" s="20" t="str">
        <f t="shared" si="11"/>
        <v>X</v>
      </c>
      <c r="G56" s="20" t="str">
        <f t="shared" si="12"/>
        <v>X</v>
      </c>
      <c r="H56" s="20" t="str">
        <f t="shared" si="13"/>
        <v>O</v>
      </c>
      <c r="I56" s="3" t="s">
        <v>724</v>
      </c>
      <c r="J56" s="3" t="s">
        <v>725</v>
      </c>
      <c r="K56" s="21">
        <f t="shared" si="24"/>
        <v>23.207015346069539</v>
      </c>
      <c r="L56" s="3" t="s">
        <v>727</v>
      </c>
      <c r="M56" s="21">
        <f t="shared" si="25"/>
        <v>18.07077983088006</v>
      </c>
      <c r="N56" s="3" t="s">
        <v>115</v>
      </c>
      <c r="O56" s="3" t="s">
        <v>371</v>
      </c>
      <c r="P56" s="3" t="s">
        <v>1</v>
      </c>
      <c r="Q56" s="3" t="s">
        <v>729</v>
      </c>
      <c r="R56" s="3" t="s">
        <v>730</v>
      </c>
      <c r="S56" s="21">
        <f t="shared" si="14"/>
        <v>22.132337689276088</v>
      </c>
      <c r="T56" s="3" t="s">
        <v>732</v>
      </c>
      <c r="U56" s="21">
        <f t="shared" si="15"/>
        <v>23.563576021572285</v>
      </c>
      <c r="V56" s="3" t="s">
        <v>58</v>
      </c>
      <c r="W56" s="3" t="s">
        <v>58</v>
      </c>
      <c r="X56" s="3" t="s">
        <v>3</v>
      </c>
      <c r="Y56" s="3" t="s">
        <v>274</v>
      </c>
      <c r="Z56" s="20">
        <f t="shared" si="16"/>
        <v>60</v>
      </c>
      <c r="AA56" s="20">
        <f t="shared" si="17"/>
        <v>80</v>
      </c>
      <c r="AB56" s="20">
        <f t="shared" si="18"/>
        <v>70</v>
      </c>
      <c r="AC56" s="20">
        <f t="shared" si="19"/>
        <v>70</v>
      </c>
      <c r="AD56" s="20">
        <f t="shared" si="20"/>
        <v>7.4100000000000037</v>
      </c>
      <c r="AE56" s="20">
        <f t="shared" si="21"/>
        <v>-10.670000000000002</v>
      </c>
      <c r="AF56" s="20">
        <f t="shared" si="22"/>
        <v>5.7700000000000031</v>
      </c>
      <c r="AG56" s="20">
        <f t="shared" si="23"/>
        <v>-11.36</v>
      </c>
      <c r="AH56" s="22" t="s">
        <v>874</v>
      </c>
    </row>
    <row r="57" spans="1:34" s="4" customFormat="1">
      <c r="A57" s="13" t="s">
        <v>710</v>
      </c>
      <c r="B57" s="13" t="s">
        <v>734</v>
      </c>
      <c r="C57" s="13" t="s">
        <v>735</v>
      </c>
      <c r="D57" s="13" t="s">
        <v>863</v>
      </c>
      <c r="E57" t="str">
        <f t="shared" si="10"/>
        <v>O</v>
      </c>
      <c r="F57" t="str">
        <f t="shared" si="11"/>
        <v>O</v>
      </c>
      <c r="G57" t="str">
        <f t="shared" si="12"/>
        <v>O</v>
      </c>
      <c r="H57" t="str">
        <f t="shared" si="13"/>
        <v>O</v>
      </c>
      <c r="I57" s="3" t="s">
        <v>736</v>
      </c>
      <c r="J57" s="3" t="s">
        <v>737</v>
      </c>
      <c r="K57" s="9">
        <f t="shared" si="24"/>
        <v>44.456872285293521</v>
      </c>
      <c r="L57" s="3" t="s">
        <v>739</v>
      </c>
      <c r="M57" s="9">
        <f t="shared" si="25"/>
        <v>38.346102939805746</v>
      </c>
      <c r="N57" s="4" t="s">
        <v>741</v>
      </c>
      <c r="O57" s="4" t="s">
        <v>377</v>
      </c>
      <c r="P57" s="4" t="s">
        <v>0</v>
      </c>
      <c r="Q57" s="3" t="s">
        <v>742</v>
      </c>
      <c r="R57" s="3" t="s">
        <v>743</v>
      </c>
      <c r="S57" s="9">
        <f t="shared" si="14"/>
        <v>288.00573716607897</v>
      </c>
      <c r="T57" s="3" t="s">
        <v>745</v>
      </c>
      <c r="U57" s="9">
        <f t="shared" si="15"/>
        <v>54.18036215860873</v>
      </c>
      <c r="V57" s="4" t="s">
        <v>747</v>
      </c>
      <c r="W57" s="4" t="s">
        <v>51</v>
      </c>
      <c r="X57" s="4" t="s">
        <v>0</v>
      </c>
      <c r="Y57" s="4" t="s">
        <v>108</v>
      </c>
      <c r="Z57">
        <f t="shared" si="16"/>
        <v>200</v>
      </c>
      <c r="AA57">
        <f t="shared" si="17"/>
        <v>40</v>
      </c>
      <c r="AB57">
        <f t="shared" si="18"/>
        <v>520</v>
      </c>
      <c r="AC57">
        <f t="shared" si="19"/>
        <v>140</v>
      </c>
      <c r="AD57">
        <f t="shared" si="20"/>
        <v>238.48000000000002</v>
      </c>
      <c r="AE57">
        <f t="shared" si="21"/>
        <v>481.91999999999996</v>
      </c>
      <c r="AF57">
        <f t="shared" si="22"/>
        <v>-205.69999999999993</v>
      </c>
      <c r="AG57">
        <f t="shared" si="23"/>
        <v>90.66</v>
      </c>
    </row>
    <row r="58" spans="1:34" s="3" customFormat="1">
      <c r="A58" s="13" t="s">
        <v>710</v>
      </c>
      <c r="B58" s="13" t="s">
        <v>748</v>
      </c>
      <c r="C58" s="13" t="s">
        <v>749</v>
      </c>
      <c r="D58" s="13" t="s">
        <v>863</v>
      </c>
      <c r="E58" t="str">
        <f t="shared" si="10"/>
        <v>O</v>
      </c>
      <c r="F58" t="str">
        <f t="shared" si="11"/>
        <v>O</v>
      </c>
      <c r="G58" t="str">
        <f t="shared" si="12"/>
        <v>O</v>
      </c>
      <c r="H58" t="str">
        <f t="shared" si="13"/>
        <v>O</v>
      </c>
      <c r="I58" s="3" t="s">
        <v>750</v>
      </c>
      <c r="J58" s="3" t="s">
        <v>751</v>
      </c>
      <c r="K58" s="9">
        <f t="shared" si="24"/>
        <v>81.70543329826053</v>
      </c>
      <c r="L58" s="3" t="s">
        <v>753</v>
      </c>
      <c r="M58" s="9">
        <f t="shared" si="25"/>
        <v>75.947525129284301</v>
      </c>
      <c r="N58" s="3" t="s">
        <v>755</v>
      </c>
      <c r="O58" s="3" t="s">
        <v>756</v>
      </c>
      <c r="P58" s="3" t="s">
        <v>0</v>
      </c>
      <c r="Q58" s="3" t="s">
        <v>750</v>
      </c>
      <c r="R58" s="3" t="s">
        <v>757</v>
      </c>
      <c r="S58" s="9">
        <f t="shared" si="14"/>
        <v>8.160021491414625</v>
      </c>
      <c r="T58" s="3" t="s">
        <v>759</v>
      </c>
      <c r="U58" s="9">
        <f t="shared" si="15"/>
        <v>4.0005372853656906</v>
      </c>
      <c r="V58" s="3" t="s">
        <v>761</v>
      </c>
      <c r="W58" s="3" t="s">
        <v>683</v>
      </c>
      <c r="X58" s="3" t="s">
        <v>0</v>
      </c>
      <c r="Y58" s="3" t="s">
        <v>108</v>
      </c>
      <c r="Z58">
        <f t="shared" si="16"/>
        <v>5420</v>
      </c>
      <c r="AA58">
        <f t="shared" si="17"/>
        <v>5410</v>
      </c>
      <c r="AB58">
        <f t="shared" si="18"/>
        <v>650</v>
      </c>
      <c r="AC58">
        <f t="shared" si="19"/>
        <v>640</v>
      </c>
      <c r="AD58">
        <f t="shared" si="20"/>
        <v>364.96999999999997</v>
      </c>
      <c r="AE58">
        <f t="shared" si="21"/>
        <v>36.449999999999989</v>
      </c>
      <c r="AF58">
        <f t="shared" si="22"/>
        <v>339.25000000000006</v>
      </c>
      <c r="AG58">
        <f t="shared" si="23"/>
        <v>17.870000000000005</v>
      </c>
    </row>
    <row r="59" spans="1:34" s="3" customFormat="1">
      <c r="A59" s="12" t="s">
        <v>762</v>
      </c>
      <c r="B59" s="12" t="s">
        <v>763</v>
      </c>
      <c r="C59" s="12" t="s">
        <v>764</v>
      </c>
      <c r="D59" s="12" t="s">
        <v>864</v>
      </c>
      <c r="E59" t="str">
        <f t="shared" si="10"/>
        <v>O</v>
      </c>
      <c r="F59" t="str">
        <f t="shared" si="11"/>
        <v>O</v>
      </c>
      <c r="G59" t="str">
        <f t="shared" si="12"/>
        <v>X</v>
      </c>
      <c r="H59" t="str">
        <f t="shared" si="13"/>
        <v>O</v>
      </c>
      <c r="I59" s="3" t="s">
        <v>765</v>
      </c>
      <c r="J59" s="3" t="s">
        <v>766</v>
      </c>
      <c r="K59" s="9">
        <f t="shared" si="24"/>
        <v>45.042477969500297</v>
      </c>
      <c r="L59" s="3" t="s">
        <v>768</v>
      </c>
      <c r="M59" s="9">
        <f t="shared" si="25"/>
        <v>10.970397340509731</v>
      </c>
      <c r="N59" s="3" t="s">
        <v>430</v>
      </c>
      <c r="O59" s="3" t="s">
        <v>622</v>
      </c>
      <c r="P59" s="3" t="s">
        <v>1</v>
      </c>
      <c r="Q59" s="3" t="s">
        <v>770</v>
      </c>
      <c r="R59" s="3" t="s">
        <v>771</v>
      </c>
      <c r="S59" s="9">
        <f t="shared" si="14"/>
        <v>67.934440008405119</v>
      </c>
      <c r="T59" s="3" t="s">
        <v>773</v>
      </c>
      <c r="U59" s="9">
        <f t="shared" si="15"/>
        <v>16.05379281361629</v>
      </c>
      <c r="V59" s="3" t="s">
        <v>324</v>
      </c>
      <c r="W59" s="3" t="s">
        <v>430</v>
      </c>
      <c r="X59" s="3" t="s">
        <v>0</v>
      </c>
      <c r="Y59" s="3" t="s">
        <v>29</v>
      </c>
      <c r="Z59">
        <f t="shared" si="16"/>
        <v>10</v>
      </c>
      <c r="AA59">
        <f t="shared" si="17"/>
        <v>30</v>
      </c>
      <c r="AB59">
        <f t="shared" si="18"/>
        <v>20</v>
      </c>
      <c r="AC59">
        <f t="shared" si="19"/>
        <v>10</v>
      </c>
      <c r="AD59">
        <f t="shared" si="20"/>
        <v>85.360000000000014</v>
      </c>
      <c r="AE59">
        <f t="shared" si="21"/>
        <v>64.66</v>
      </c>
      <c r="AF59">
        <f t="shared" si="22"/>
        <v>-20.789999999999992</v>
      </c>
      <c r="AG59">
        <f t="shared" si="23"/>
        <v>15.279999999999987</v>
      </c>
    </row>
    <row r="60" spans="1:34" s="3" customFormat="1">
      <c r="A60" s="12" t="s">
        <v>762</v>
      </c>
      <c r="B60" s="12" t="s">
        <v>762</v>
      </c>
      <c r="C60" s="12" t="s">
        <v>775</v>
      </c>
      <c r="D60" s="12" t="s">
        <v>864</v>
      </c>
      <c r="E60" t="str">
        <f t="shared" si="10"/>
        <v>O</v>
      </c>
      <c r="F60" t="str">
        <f t="shared" si="11"/>
        <v>O</v>
      </c>
      <c r="G60" t="str">
        <f t="shared" si="12"/>
        <v>O</v>
      </c>
      <c r="H60" t="str">
        <f t="shared" si="13"/>
        <v>O</v>
      </c>
      <c r="I60" s="3" t="s">
        <v>776</v>
      </c>
      <c r="J60" s="3" t="s">
        <v>777</v>
      </c>
      <c r="K60" s="9">
        <f t="shared" si="24"/>
        <v>12.095666460179364</v>
      </c>
      <c r="L60" s="3" t="s">
        <v>779</v>
      </c>
      <c r="M60" s="9">
        <f t="shared" si="25"/>
        <v>5.774462010827115</v>
      </c>
      <c r="N60" s="3" t="s">
        <v>36</v>
      </c>
      <c r="O60" s="3" t="s">
        <v>83</v>
      </c>
      <c r="P60" s="3" t="s">
        <v>0</v>
      </c>
      <c r="Q60" s="3" t="s">
        <v>781</v>
      </c>
      <c r="R60" s="3" t="s">
        <v>782</v>
      </c>
      <c r="S60" s="9">
        <f t="shared" si="14"/>
        <v>8.7331243972999104</v>
      </c>
      <c r="T60" s="3" t="s">
        <v>784</v>
      </c>
      <c r="U60" s="9">
        <f t="shared" si="15"/>
        <v>7.3589681774349129</v>
      </c>
      <c r="V60" s="3" t="s">
        <v>430</v>
      </c>
      <c r="W60" s="3" t="s">
        <v>596</v>
      </c>
      <c r="X60" s="3" t="s">
        <v>1</v>
      </c>
      <c r="Y60" s="3" t="s">
        <v>29</v>
      </c>
      <c r="Z60">
        <f t="shared" si="16"/>
        <v>60</v>
      </c>
      <c r="AA60">
        <f t="shared" si="17"/>
        <v>40</v>
      </c>
      <c r="AB60">
        <f t="shared" si="18"/>
        <v>10</v>
      </c>
      <c r="AC60">
        <f t="shared" si="19"/>
        <v>10</v>
      </c>
      <c r="AD60">
        <f t="shared" si="20"/>
        <v>44.909999999999968</v>
      </c>
      <c r="AE60">
        <f t="shared" si="21"/>
        <v>28.980000000000018</v>
      </c>
      <c r="AF60">
        <f t="shared" si="22"/>
        <v>21.439999999999998</v>
      </c>
      <c r="AG60">
        <f t="shared" si="23"/>
        <v>24.420000000000016</v>
      </c>
    </row>
    <row r="61" spans="1:34" s="3" customFormat="1">
      <c r="A61" s="2" t="s">
        <v>762</v>
      </c>
      <c r="B61" s="2" t="s">
        <v>762</v>
      </c>
      <c r="C61" s="2" t="s">
        <v>786</v>
      </c>
      <c r="D61" s="2" t="s">
        <v>883</v>
      </c>
      <c r="E61" t="str">
        <f t="shared" si="10"/>
        <v>O</v>
      </c>
      <c r="F61" t="str">
        <f t="shared" si="11"/>
        <v>O</v>
      </c>
      <c r="G61" t="str">
        <f t="shared" si="12"/>
        <v>O</v>
      </c>
      <c r="H61" t="str">
        <f t="shared" si="13"/>
        <v>O</v>
      </c>
      <c r="I61" s="3" t="s">
        <v>787</v>
      </c>
      <c r="J61" s="3" t="s">
        <v>788</v>
      </c>
      <c r="K61" s="9">
        <f t="shared" si="24"/>
        <v>65.529694089140534</v>
      </c>
      <c r="L61" s="3" t="s">
        <v>790</v>
      </c>
      <c r="M61" s="9">
        <f t="shared" si="25"/>
        <v>58.449243959833197</v>
      </c>
      <c r="N61" s="3" t="s">
        <v>52</v>
      </c>
      <c r="O61" s="3" t="s">
        <v>449</v>
      </c>
      <c r="P61" s="3" t="s">
        <v>0</v>
      </c>
      <c r="Q61" s="3" t="s">
        <v>792</v>
      </c>
      <c r="R61" s="3" t="s">
        <v>793</v>
      </c>
      <c r="S61" s="9">
        <f t="shared" si="14"/>
        <v>43.186390607889571</v>
      </c>
      <c r="T61" s="3" t="s">
        <v>795</v>
      </c>
      <c r="U61" s="9">
        <f t="shared" si="15"/>
        <v>40.079456031782392</v>
      </c>
      <c r="V61" s="3" t="s">
        <v>741</v>
      </c>
      <c r="W61" s="3" t="s">
        <v>449</v>
      </c>
      <c r="X61" s="3" t="s">
        <v>0</v>
      </c>
      <c r="Y61" s="3" t="s">
        <v>169</v>
      </c>
      <c r="Z61">
        <f t="shared" si="16"/>
        <v>110</v>
      </c>
      <c r="AA61">
        <f t="shared" si="17"/>
        <v>100</v>
      </c>
      <c r="AB61">
        <f t="shared" si="18"/>
        <v>200</v>
      </c>
      <c r="AC61">
        <f t="shared" si="19"/>
        <v>100</v>
      </c>
      <c r="AD61">
        <f t="shared" si="20"/>
        <v>281.26000000000005</v>
      </c>
      <c r="AE61">
        <f t="shared" si="21"/>
        <v>169.57999999999998</v>
      </c>
      <c r="AF61">
        <f t="shared" si="22"/>
        <v>250.87000000000006</v>
      </c>
      <c r="AG61">
        <f t="shared" si="23"/>
        <v>157.37999999999994</v>
      </c>
      <c r="AH61" s="7" t="s">
        <v>872</v>
      </c>
    </row>
    <row r="62" spans="1:34" s="20" customFormat="1">
      <c r="A62" s="20" t="s">
        <v>797</v>
      </c>
      <c r="B62" s="20" t="s">
        <v>798</v>
      </c>
      <c r="C62" s="20" t="s">
        <v>799</v>
      </c>
      <c r="D62" s="20" t="s">
        <v>862</v>
      </c>
      <c r="E62" s="20" t="str">
        <f t="shared" si="10"/>
        <v>X</v>
      </c>
      <c r="F62" s="20" t="str">
        <f t="shared" si="11"/>
        <v>O</v>
      </c>
      <c r="G62" s="20" t="str">
        <f t="shared" si="12"/>
        <v>O</v>
      </c>
      <c r="H62" s="20" t="str">
        <f t="shared" si="13"/>
        <v>O</v>
      </c>
      <c r="I62" s="2" t="s">
        <v>800</v>
      </c>
      <c r="J62" s="2" t="s">
        <v>801</v>
      </c>
      <c r="K62" s="21">
        <f t="shared" si="24"/>
        <v>11.645409173730494</v>
      </c>
      <c r="L62" s="2" t="s">
        <v>803</v>
      </c>
      <c r="M62" s="21">
        <f t="shared" si="25"/>
        <v>76.740869840766862</v>
      </c>
      <c r="N62" s="2" t="s">
        <v>52</v>
      </c>
      <c r="O62" s="2" t="s">
        <v>377</v>
      </c>
      <c r="P62" s="2" t="s">
        <v>1</v>
      </c>
      <c r="Q62" s="2" t="s">
        <v>805</v>
      </c>
      <c r="R62" s="2" t="s">
        <v>806</v>
      </c>
      <c r="S62" s="21">
        <f t="shared" si="14"/>
        <v>257.4383936720414</v>
      </c>
      <c r="T62" s="2" t="s">
        <v>808</v>
      </c>
      <c r="U62" s="21">
        <f t="shared" si="15"/>
        <v>7.8491025250988917</v>
      </c>
      <c r="V62" s="2" t="s">
        <v>52</v>
      </c>
      <c r="W62" s="2" t="s">
        <v>83</v>
      </c>
      <c r="X62" s="2" t="s">
        <v>0</v>
      </c>
      <c r="Y62" s="2" t="s">
        <v>29</v>
      </c>
      <c r="Z62" s="20">
        <f t="shared" si="16"/>
        <v>110</v>
      </c>
      <c r="AA62" s="20">
        <f t="shared" si="17"/>
        <v>40</v>
      </c>
      <c r="AB62" s="20">
        <f t="shared" si="18"/>
        <v>110</v>
      </c>
      <c r="AC62" s="20">
        <f t="shared" si="19"/>
        <v>40</v>
      </c>
      <c r="AD62" s="20">
        <f t="shared" si="20"/>
        <v>-14.700000000000003</v>
      </c>
      <c r="AE62" s="20">
        <f t="shared" si="21"/>
        <v>84.62</v>
      </c>
      <c r="AF62" s="20">
        <f t="shared" si="22"/>
        <v>-96.87</v>
      </c>
      <c r="AG62" s="20">
        <f t="shared" si="23"/>
        <v>2.5800000000000054</v>
      </c>
      <c r="AH62" s="20" t="s">
        <v>888</v>
      </c>
    </row>
    <row r="63" spans="1:34" s="4" customFormat="1">
      <c r="A63" s="13" t="s">
        <v>797</v>
      </c>
      <c r="B63" s="13" t="s">
        <v>797</v>
      </c>
      <c r="C63" s="13" t="s">
        <v>810</v>
      </c>
      <c r="D63" s="13" t="s">
        <v>863</v>
      </c>
      <c r="E63" t="str">
        <f t="shared" si="10"/>
        <v>O</v>
      </c>
      <c r="F63" t="str">
        <f t="shared" si="11"/>
        <v>O</v>
      </c>
      <c r="G63" t="str">
        <f t="shared" si="12"/>
        <v>O</v>
      </c>
      <c r="H63" t="str">
        <f t="shared" si="13"/>
        <v>O</v>
      </c>
      <c r="I63" s="3" t="s">
        <v>811</v>
      </c>
      <c r="J63" s="3" t="s">
        <v>812</v>
      </c>
      <c r="K63" s="9">
        <f t="shared" si="24"/>
        <v>26.195315616511238</v>
      </c>
      <c r="L63" s="3" t="s">
        <v>814</v>
      </c>
      <c r="M63" s="9">
        <f t="shared" si="25"/>
        <v>23.524495184544953</v>
      </c>
      <c r="N63" s="4" t="s">
        <v>167</v>
      </c>
      <c r="O63" s="4" t="s">
        <v>51</v>
      </c>
      <c r="P63" s="4" t="s">
        <v>0</v>
      </c>
      <c r="Q63" s="3" t="s">
        <v>816</v>
      </c>
      <c r="R63" s="3" t="s">
        <v>817</v>
      </c>
      <c r="S63" s="9">
        <f t="shared" si="14"/>
        <v>82.453160006893668</v>
      </c>
      <c r="T63" s="3" t="s">
        <v>819</v>
      </c>
      <c r="U63" s="9">
        <f t="shared" si="15"/>
        <v>9.9638082576261091</v>
      </c>
      <c r="V63" s="4" t="s">
        <v>485</v>
      </c>
      <c r="W63" s="4" t="s">
        <v>43</v>
      </c>
      <c r="X63" s="4" t="s">
        <v>0</v>
      </c>
      <c r="Y63" s="4" t="s">
        <v>108</v>
      </c>
      <c r="Z63">
        <f t="shared" si="16"/>
        <v>210</v>
      </c>
      <c r="AA63">
        <f t="shared" si="17"/>
        <v>140</v>
      </c>
      <c r="AB63">
        <f t="shared" si="18"/>
        <v>230</v>
      </c>
      <c r="AC63">
        <f t="shared" si="19"/>
        <v>160</v>
      </c>
      <c r="AD63">
        <f t="shared" si="20"/>
        <v>137.90000000000009</v>
      </c>
      <c r="AE63">
        <f t="shared" si="21"/>
        <v>334.90000000000003</v>
      </c>
      <c r="AF63">
        <f t="shared" si="22"/>
        <v>-123.83999999999997</v>
      </c>
      <c r="AG63">
        <f t="shared" si="23"/>
        <v>40.46999999999997</v>
      </c>
    </row>
    <row r="64" spans="1:34" s="3" customFormat="1">
      <c r="A64" s="13" t="s">
        <v>797</v>
      </c>
      <c r="B64" s="13" t="s">
        <v>797</v>
      </c>
      <c r="C64" s="13" t="s">
        <v>821</v>
      </c>
      <c r="D64" s="13" t="s">
        <v>1</v>
      </c>
      <c r="E64" t="str">
        <f t="shared" si="10"/>
        <v>X</v>
      </c>
      <c r="F64" t="str">
        <f t="shared" si="11"/>
        <v>O</v>
      </c>
      <c r="G64" t="str">
        <f t="shared" si="12"/>
        <v>O</v>
      </c>
      <c r="H64" t="str">
        <f t="shared" si="13"/>
        <v>O</v>
      </c>
      <c r="I64" s="3" t="s">
        <v>822</v>
      </c>
      <c r="J64" s="3" t="s">
        <v>823</v>
      </c>
      <c r="K64" s="9">
        <f t="shared" si="24"/>
        <v>17.263921872081543</v>
      </c>
      <c r="L64" s="3" t="s">
        <v>825</v>
      </c>
      <c r="M64" s="9">
        <f t="shared" si="25"/>
        <v>35.520452544227119</v>
      </c>
      <c r="N64" s="3" t="s">
        <v>121</v>
      </c>
      <c r="O64" s="3" t="s">
        <v>59</v>
      </c>
      <c r="P64" s="3" t="s">
        <v>1</v>
      </c>
      <c r="Q64" s="3" t="s">
        <v>827</v>
      </c>
      <c r="R64" s="3" t="s">
        <v>828</v>
      </c>
      <c r="S64" s="9">
        <f t="shared" si="14"/>
        <v>38.903297517599121</v>
      </c>
      <c r="T64" s="3" t="s">
        <v>830</v>
      </c>
      <c r="U64" s="9">
        <f t="shared" si="15"/>
        <v>9.6990654975093786</v>
      </c>
      <c r="V64" s="3" t="s">
        <v>51</v>
      </c>
      <c r="W64" s="3" t="s">
        <v>324</v>
      </c>
      <c r="X64" s="3" t="s">
        <v>0</v>
      </c>
      <c r="Y64" s="3" t="s">
        <v>29</v>
      </c>
      <c r="Z64">
        <f t="shared" si="16"/>
        <v>80</v>
      </c>
      <c r="AA64">
        <f t="shared" si="17"/>
        <v>30</v>
      </c>
      <c r="AB64">
        <f t="shared" si="18"/>
        <v>140</v>
      </c>
      <c r="AC64">
        <f t="shared" si="19"/>
        <v>20</v>
      </c>
      <c r="AD64">
        <f t="shared" si="20"/>
        <v>-64.699999999999989</v>
      </c>
      <c r="AE64">
        <f t="shared" si="21"/>
        <v>94.500000000000028</v>
      </c>
      <c r="AF64">
        <f t="shared" si="22"/>
        <v>-133.11999999999998</v>
      </c>
      <c r="AG64">
        <f t="shared" si="23"/>
        <v>23.560000000000031</v>
      </c>
    </row>
    <row r="65" spans="1:34" s="3" customFormat="1">
      <c r="A65" s="2" t="s">
        <v>797</v>
      </c>
      <c r="B65" s="2" t="s">
        <v>797</v>
      </c>
      <c r="C65" s="2" t="s">
        <v>832</v>
      </c>
      <c r="D65" s="2" t="s">
        <v>883</v>
      </c>
      <c r="E65" t="str">
        <f t="shared" si="10"/>
        <v>X</v>
      </c>
      <c r="F65" t="str">
        <f t="shared" si="11"/>
        <v>X</v>
      </c>
      <c r="G65" t="str">
        <f t="shared" si="12"/>
        <v>O</v>
      </c>
      <c r="H65" t="str">
        <f t="shared" si="13"/>
        <v>X</v>
      </c>
      <c r="I65" s="3" t="s">
        <v>833</v>
      </c>
      <c r="J65" s="3" t="s">
        <v>834</v>
      </c>
      <c r="K65" s="9">
        <f t="shared" si="24"/>
        <v>11.090413897238339</v>
      </c>
      <c r="L65" s="3" t="s">
        <v>836</v>
      </c>
      <c r="M65" s="9">
        <f t="shared" si="25"/>
        <v>27.294921185950351</v>
      </c>
      <c r="N65" s="3" t="s">
        <v>159</v>
      </c>
      <c r="O65" s="3" t="s">
        <v>205</v>
      </c>
      <c r="P65" s="3" t="s">
        <v>1</v>
      </c>
      <c r="Q65" s="3" t="s">
        <v>838</v>
      </c>
      <c r="R65" s="3" t="s">
        <v>839</v>
      </c>
      <c r="S65" s="9">
        <f t="shared" si="14"/>
        <v>25.071399950552873</v>
      </c>
      <c r="T65" s="3" t="s">
        <v>841</v>
      </c>
      <c r="U65" s="9">
        <f t="shared" si="15"/>
        <v>50.404528675072683</v>
      </c>
      <c r="V65" s="3" t="s">
        <v>843</v>
      </c>
      <c r="W65" s="3" t="s">
        <v>424</v>
      </c>
      <c r="X65" s="3" t="s">
        <v>3</v>
      </c>
      <c r="Y65" s="3" t="s">
        <v>169</v>
      </c>
      <c r="Z65">
        <f t="shared" si="16"/>
        <v>320</v>
      </c>
      <c r="AA65">
        <f t="shared" si="17"/>
        <v>270</v>
      </c>
      <c r="AB65">
        <f t="shared" si="18"/>
        <v>100</v>
      </c>
      <c r="AC65">
        <f t="shared" si="19"/>
        <v>150</v>
      </c>
      <c r="AD65">
        <f t="shared" si="20"/>
        <v>78.590000000000032</v>
      </c>
      <c r="AE65">
        <f t="shared" si="21"/>
        <v>-294.08000000000004</v>
      </c>
      <c r="AF65">
        <f t="shared" si="22"/>
        <v>-193.41999999999996</v>
      </c>
      <c r="AG65">
        <f t="shared" si="23"/>
        <v>-591.23</v>
      </c>
      <c r="AH65" s="7" t="s">
        <v>872</v>
      </c>
    </row>
    <row r="66" spans="1:34" s="3" customFormat="1">
      <c r="A66" s="2" t="s">
        <v>844</v>
      </c>
      <c r="B66" s="2" t="s">
        <v>845</v>
      </c>
      <c r="C66" s="2" t="s">
        <v>846</v>
      </c>
      <c r="D66" s="2" t="s">
        <v>883</v>
      </c>
      <c r="E66" t="str">
        <f t="shared" si="10"/>
        <v>O</v>
      </c>
      <c r="F66" t="str">
        <f t="shared" si="11"/>
        <v>O</v>
      </c>
      <c r="G66" t="str">
        <f t="shared" si="12"/>
        <v>O</v>
      </c>
      <c r="H66" t="str">
        <f t="shared" si="13"/>
        <v>O</v>
      </c>
      <c r="I66" s="3" t="s">
        <v>847</v>
      </c>
      <c r="J66" s="3" t="s">
        <v>848</v>
      </c>
      <c r="K66" s="9">
        <f t="shared" si="24"/>
        <v>49.975325448821572</v>
      </c>
      <c r="L66" s="3" t="s">
        <v>848</v>
      </c>
      <c r="M66" s="9">
        <f t="shared" si="25"/>
        <v>49.975325448821572</v>
      </c>
      <c r="N66" s="3" t="s">
        <v>386</v>
      </c>
      <c r="O66" s="3" t="s">
        <v>386</v>
      </c>
      <c r="P66" s="3" t="s">
        <v>2</v>
      </c>
      <c r="Q66" s="3" t="s">
        <v>850</v>
      </c>
      <c r="R66" s="3" t="s">
        <v>851</v>
      </c>
      <c r="S66" s="9">
        <f t="shared" si="14"/>
        <v>24.602261836304386</v>
      </c>
      <c r="T66" s="3" t="s">
        <v>851</v>
      </c>
      <c r="U66" s="9">
        <f t="shared" si="15"/>
        <v>24.602261836304386</v>
      </c>
      <c r="V66" s="3" t="s">
        <v>853</v>
      </c>
      <c r="W66" s="3" t="s">
        <v>853</v>
      </c>
      <c r="X66" s="3" t="s">
        <v>2</v>
      </c>
      <c r="Y66" s="3" t="s">
        <v>169</v>
      </c>
      <c r="Z66">
        <f t="shared" si="16"/>
        <v>0</v>
      </c>
      <c r="AA66">
        <f t="shared" si="17"/>
        <v>0</v>
      </c>
      <c r="AB66">
        <f t="shared" si="18"/>
        <v>370</v>
      </c>
      <c r="AC66">
        <f t="shared" si="19"/>
        <v>370</v>
      </c>
      <c r="AD66">
        <f t="shared" si="20"/>
        <v>-293.67999999999995</v>
      </c>
      <c r="AE66">
        <f t="shared" si="21"/>
        <v>-154.01999999999998</v>
      </c>
      <c r="AF66">
        <f t="shared" si="22"/>
        <v>-293.67999999999995</v>
      </c>
      <c r="AG66">
        <f t="shared" si="23"/>
        <v>-154.01999999999998</v>
      </c>
      <c r="AH66" s="7" t="s">
        <v>872</v>
      </c>
    </row>
    <row r="67" spans="1:34" s="20" customFormat="1">
      <c r="A67" s="20" t="s">
        <v>844</v>
      </c>
      <c r="B67" s="20" t="s">
        <v>854</v>
      </c>
      <c r="C67" s="20" t="s">
        <v>855</v>
      </c>
      <c r="D67" s="20" t="s">
        <v>3</v>
      </c>
      <c r="E67" s="20" t="e">
        <f t="shared" si="10"/>
        <v>#VALUE!</v>
      </c>
      <c r="F67" s="20" t="str">
        <f t="shared" si="11"/>
        <v>O</v>
      </c>
      <c r="G67" s="20" t="str">
        <f t="shared" si="12"/>
        <v>O</v>
      </c>
      <c r="H67" s="20" t="str">
        <f t="shared" si="13"/>
        <v>O</v>
      </c>
      <c r="I67" s="3"/>
      <c r="J67" s="3"/>
      <c r="K67" s="21" t="s">
        <v>880</v>
      </c>
      <c r="L67" s="3"/>
      <c r="M67" s="21" t="s">
        <v>880</v>
      </c>
      <c r="N67" s="3"/>
      <c r="O67" s="3"/>
      <c r="P67" s="3" t="s">
        <v>3</v>
      </c>
      <c r="Q67" s="3" t="s">
        <v>856</v>
      </c>
      <c r="R67" s="3" t="s">
        <v>857</v>
      </c>
      <c r="S67" s="21">
        <f t="shared" si="14"/>
        <v>46.196562635726259</v>
      </c>
      <c r="T67" s="3" t="s">
        <v>859</v>
      </c>
      <c r="U67" s="21">
        <f t="shared" si="15"/>
        <v>19.156790966060683</v>
      </c>
      <c r="V67" s="3" t="s">
        <v>861</v>
      </c>
      <c r="W67" s="3" t="s">
        <v>281</v>
      </c>
      <c r="X67" s="3" t="s">
        <v>0</v>
      </c>
      <c r="Y67" s="3" t="s">
        <v>313</v>
      </c>
      <c r="Z67" s="20">
        <f t="shared" si="16"/>
        <v>0</v>
      </c>
      <c r="AA67" s="20">
        <f t="shared" si="17"/>
        <v>0</v>
      </c>
      <c r="AB67" s="20">
        <f t="shared" si="18"/>
        <v>370</v>
      </c>
      <c r="AC67" s="20">
        <f t="shared" si="19"/>
        <v>130</v>
      </c>
      <c r="AD67" s="20">
        <f t="shared" si="20"/>
        <v>0</v>
      </c>
      <c r="AE67" s="20">
        <f t="shared" si="21"/>
        <v>148.91000000000003</v>
      </c>
      <c r="AF67" s="20">
        <f t="shared" si="22"/>
        <v>0</v>
      </c>
      <c r="AG67" s="20">
        <f t="shared" si="23"/>
        <v>61.75</v>
      </c>
      <c r="AH67" s="22" t="s">
        <v>874</v>
      </c>
    </row>
  </sheetData>
  <autoFilter ref="A1:AH67" xr:uid="{DC581A18-BC2A-49A7-A345-1FF0E05D1EDD}"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5" showButton="0"/>
    <filterColumn colId="26" showButton="0"/>
    <filterColumn colId="27" showButton="0"/>
    <filterColumn colId="29" showButton="0"/>
    <filterColumn colId="30" showButton="0"/>
    <filterColumn colId="31" showButton="0"/>
  </autoFilter>
  <mergeCells count="11">
    <mergeCell ref="AD1:AG1"/>
    <mergeCell ref="Z1:AC1"/>
    <mergeCell ref="K2:P2"/>
    <mergeCell ref="S2:X2"/>
    <mergeCell ref="E2:F2"/>
    <mergeCell ref="G2:H2"/>
    <mergeCell ref="AD2:AE2"/>
    <mergeCell ref="AF2:AG2"/>
    <mergeCell ref="Z2:AA2"/>
    <mergeCell ref="AB2:AC2"/>
    <mergeCell ref="K1:U1"/>
  </mergeCells>
  <phoneticPr fontId="2" type="noConversion"/>
  <conditionalFormatting sqref="E4:H67">
    <cfRule type="cellIs" dxfId="6" priority="7" operator="equal">
      <formula>"O"</formula>
    </cfRule>
    <cfRule type="cellIs" dxfId="5" priority="8" operator="equal">
      <formula>"X"</formula>
    </cfRule>
  </conditionalFormatting>
  <conditionalFormatting sqref="K4:K67">
    <cfRule type="cellIs" dxfId="4" priority="4" operator="lessThan">
      <formula>10.01</formula>
    </cfRule>
  </conditionalFormatting>
  <conditionalFormatting sqref="M4:M67">
    <cfRule type="cellIs" dxfId="3" priority="3" operator="lessThan">
      <formula>10.01</formula>
    </cfRule>
  </conditionalFormatting>
  <conditionalFormatting sqref="S4:S67">
    <cfRule type="cellIs" dxfId="2" priority="2" operator="lessThan">
      <formula>10.01</formula>
    </cfRule>
  </conditionalFormatting>
  <conditionalFormatting sqref="U4:U67">
    <cfRule type="cellIs" dxfId="1" priority="1" operator="lessThan">
      <formula>10.01</formula>
    </cfRule>
  </conditionalFormatting>
  <conditionalFormatting sqref="AA4:AA67 AC4:AC67">
    <cfRule type="cellIs" dxfId="0" priority="5" operator="lessThan">
      <formula>70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9"/>
  <sheetViews>
    <sheetView topLeftCell="A28" zoomScaleNormal="100" workbookViewId="0">
      <selection activeCell="E57" sqref="E57:U57"/>
    </sheetView>
  </sheetViews>
  <sheetFormatPr defaultRowHeight="16.5"/>
  <cols>
    <col min="3" max="3" width="18.625" bestFit="1" customWidth="1"/>
    <col min="5" max="5" width="20.625" customWidth="1"/>
    <col min="6" max="7" width="0" hidden="1" customWidth="1"/>
    <col min="9" max="9" width="0" hidden="1" customWidth="1"/>
    <col min="14" max="15" width="0" hidden="1" customWidth="1"/>
    <col min="17" max="17" width="0" hidden="1" customWidth="1"/>
    <col min="22" max="22" width="46.625" customWidth="1"/>
  </cols>
  <sheetData>
    <row r="1" spans="1:22">
      <c r="H1" s="30" t="s">
        <v>865</v>
      </c>
      <c r="I1" s="31"/>
      <c r="J1" s="30"/>
      <c r="K1" s="30"/>
      <c r="L1" s="30"/>
      <c r="M1" s="30"/>
      <c r="P1" s="30" t="s">
        <v>866</v>
      </c>
      <c r="Q1" s="31"/>
      <c r="R1" s="30"/>
      <c r="S1" s="30"/>
      <c r="T1" s="30"/>
      <c r="U1" s="30"/>
    </row>
    <row r="2" spans="1:22">
      <c r="A2" s="1" t="s">
        <v>5</v>
      </c>
      <c r="B2" s="1" t="s">
        <v>6</v>
      </c>
      <c r="C2" s="1" t="s">
        <v>7</v>
      </c>
      <c r="D2" s="1" t="s">
        <v>8</v>
      </c>
      <c r="E2" s="6" t="s">
        <v>868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23</v>
      </c>
      <c r="T2" s="1" t="s">
        <v>24</v>
      </c>
      <c r="U2" s="1" t="s">
        <v>25</v>
      </c>
      <c r="V2" s="1" t="s">
        <v>9</v>
      </c>
    </row>
    <row r="3" spans="1:22">
      <c r="A3" t="s">
        <v>26</v>
      </c>
      <c r="B3" t="s">
        <v>27</v>
      </c>
      <c r="C3" t="s">
        <v>28</v>
      </c>
      <c r="D3" t="s">
        <v>1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1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0</v>
      </c>
      <c r="V3" t="s">
        <v>29</v>
      </c>
    </row>
    <row r="4" spans="1:22" s="4" customFormat="1">
      <c r="A4" s="4" t="s">
        <v>26</v>
      </c>
      <c r="B4" s="4" t="s">
        <v>44</v>
      </c>
      <c r="C4" s="4" t="s">
        <v>45</v>
      </c>
      <c r="D4" s="4" t="s">
        <v>864</v>
      </c>
      <c r="F4" s="4" t="s">
        <v>46</v>
      </c>
      <c r="G4" s="4" t="s">
        <v>47</v>
      </c>
      <c r="H4" s="4" t="s">
        <v>48</v>
      </c>
      <c r="I4" s="4" t="s">
        <v>49</v>
      </c>
      <c r="J4" s="4" t="s">
        <v>50</v>
      </c>
      <c r="K4" s="4" t="s">
        <v>51</v>
      </c>
      <c r="L4" s="4" t="s">
        <v>52</v>
      </c>
      <c r="M4" s="4" t="s">
        <v>0</v>
      </c>
      <c r="N4" s="4" t="s">
        <v>53</v>
      </c>
      <c r="O4" s="4" t="s">
        <v>54</v>
      </c>
      <c r="P4" s="4" t="s">
        <v>55</v>
      </c>
      <c r="Q4" s="4" t="s">
        <v>56</v>
      </c>
      <c r="R4" s="4" t="s">
        <v>57</v>
      </c>
      <c r="S4" s="4" t="s">
        <v>58</v>
      </c>
      <c r="T4" s="4" t="s">
        <v>59</v>
      </c>
      <c r="U4" s="4" t="s">
        <v>1</v>
      </c>
      <c r="V4" s="4" t="s">
        <v>29</v>
      </c>
    </row>
    <row r="5" spans="1:22" s="3" customFormat="1">
      <c r="A5" s="3" t="s">
        <v>26</v>
      </c>
      <c r="B5" s="3" t="s">
        <v>60</v>
      </c>
      <c r="C5" s="3" t="s">
        <v>61</v>
      </c>
      <c r="D5" s="3" t="s">
        <v>3</v>
      </c>
      <c r="E5" s="7" t="s">
        <v>874</v>
      </c>
      <c r="F5" s="3" t="s">
        <v>63</v>
      </c>
      <c r="G5" s="3" t="s">
        <v>64</v>
      </c>
      <c r="H5" s="3" t="s">
        <v>65</v>
      </c>
      <c r="I5" s="3" t="s">
        <v>66</v>
      </c>
      <c r="J5" s="3" t="s">
        <v>67</v>
      </c>
      <c r="K5" s="3" t="s">
        <v>68</v>
      </c>
      <c r="L5" s="3" t="s">
        <v>68</v>
      </c>
      <c r="M5" s="3" t="s">
        <v>3</v>
      </c>
      <c r="N5" s="3" t="s">
        <v>69</v>
      </c>
      <c r="O5" s="3" t="s">
        <v>70</v>
      </c>
      <c r="P5" s="3" t="s">
        <v>71</v>
      </c>
      <c r="Q5" s="3" t="s">
        <v>72</v>
      </c>
      <c r="R5" s="3" t="s">
        <v>73</v>
      </c>
      <c r="S5" s="3" t="s">
        <v>74</v>
      </c>
      <c r="T5" s="3" t="s">
        <v>75</v>
      </c>
      <c r="U5" s="3" t="s">
        <v>1</v>
      </c>
      <c r="V5" s="3" t="s">
        <v>867</v>
      </c>
    </row>
    <row r="6" spans="1:22" s="3" customFormat="1">
      <c r="A6" s="3" t="s">
        <v>26</v>
      </c>
      <c r="B6" s="3" t="s">
        <v>60</v>
      </c>
      <c r="C6" s="3" t="s">
        <v>76</v>
      </c>
      <c r="D6" s="3" t="s">
        <v>3</v>
      </c>
      <c r="E6" s="3" t="s">
        <v>869</v>
      </c>
      <c r="F6" s="3" t="s">
        <v>78</v>
      </c>
      <c r="G6" s="3" t="s">
        <v>79</v>
      </c>
      <c r="H6" s="3" t="s">
        <v>80</v>
      </c>
      <c r="I6" s="3" t="s">
        <v>81</v>
      </c>
      <c r="J6" s="3" t="s">
        <v>82</v>
      </c>
      <c r="K6" s="3" t="s">
        <v>83</v>
      </c>
      <c r="L6" s="3" t="s">
        <v>84</v>
      </c>
      <c r="M6" s="3" t="s">
        <v>3</v>
      </c>
      <c r="N6" s="3" t="s">
        <v>85</v>
      </c>
      <c r="O6" s="3" t="s">
        <v>86</v>
      </c>
      <c r="P6" s="3" t="s">
        <v>87</v>
      </c>
      <c r="Q6" s="3" t="s">
        <v>88</v>
      </c>
      <c r="R6" s="3" t="s">
        <v>89</v>
      </c>
      <c r="S6" s="3" t="s">
        <v>90</v>
      </c>
      <c r="T6" s="3" t="s">
        <v>91</v>
      </c>
      <c r="U6" s="3" t="s">
        <v>3</v>
      </c>
      <c r="V6" s="3" t="s">
        <v>77</v>
      </c>
    </row>
    <row r="7" spans="1:22" s="3" customFormat="1">
      <c r="A7" s="3" t="s">
        <v>26</v>
      </c>
      <c r="B7" s="3" t="s">
        <v>60</v>
      </c>
      <c r="C7" s="3" t="s">
        <v>92</v>
      </c>
      <c r="D7" s="3" t="s">
        <v>862</v>
      </c>
      <c r="E7" s="7" t="s">
        <v>870</v>
      </c>
      <c r="F7" s="3" t="s">
        <v>93</v>
      </c>
      <c r="G7" s="3" t="s">
        <v>94</v>
      </c>
      <c r="H7" s="3" t="s">
        <v>95</v>
      </c>
      <c r="I7" s="3" t="s">
        <v>96</v>
      </c>
      <c r="J7" s="3" t="s">
        <v>97</v>
      </c>
      <c r="K7" s="3" t="s">
        <v>98</v>
      </c>
      <c r="L7" s="3" t="s">
        <v>84</v>
      </c>
      <c r="M7" s="3" t="s">
        <v>1</v>
      </c>
      <c r="N7" s="3" t="s">
        <v>99</v>
      </c>
      <c r="O7" s="3" t="s">
        <v>100</v>
      </c>
      <c r="P7" s="3" t="s">
        <v>101</v>
      </c>
      <c r="Q7" s="3" t="s">
        <v>102</v>
      </c>
      <c r="R7" s="3" t="s">
        <v>103</v>
      </c>
      <c r="S7" s="3" t="s">
        <v>104</v>
      </c>
      <c r="T7" s="3" t="s">
        <v>105</v>
      </c>
      <c r="U7" s="3" t="s">
        <v>0</v>
      </c>
      <c r="V7" s="3" t="s">
        <v>29</v>
      </c>
    </row>
    <row r="8" spans="1:22" s="3" customFormat="1">
      <c r="A8" s="3" t="s">
        <v>26</v>
      </c>
      <c r="B8" s="3" t="s">
        <v>106</v>
      </c>
      <c r="C8" s="3" t="s">
        <v>107</v>
      </c>
      <c r="D8" s="3" t="s">
        <v>0</v>
      </c>
      <c r="F8" s="3" t="s">
        <v>109</v>
      </c>
      <c r="G8" s="3" t="s">
        <v>110</v>
      </c>
      <c r="H8" s="3" t="s">
        <v>111</v>
      </c>
      <c r="I8" s="3" t="s">
        <v>112</v>
      </c>
      <c r="J8" s="3" t="s">
        <v>113</v>
      </c>
      <c r="K8" s="3" t="s">
        <v>114</v>
      </c>
      <c r="L8" s="3" t="s">
        <v>115</v>
      </c>
      <c r="M8" s="3" t="s">
        <v>0</v>
      </c>
      <c r="N8" s="3" t="s">
        <v>116</v>
      </c>
      <c r="O8" s="3" t="s">
        <v>117</v>
      </c>
      <c r="P8" s="3" t="s">
        <v>118</v>
      </c>
      <c r="Q8" s="3" t="s">
        <v>119</v>
      </c>
      <c r="R8" s="3" t="s">
        <v>120</v>
      </c>
      <c r="S8" s="3" t="s">
        <v>121</v>
      </c>
      <c r="T8" s="3" t="s">
        <v>83</v>
      </c>
      <c r="U8" s="3" t="s">
        <v>0</v>
      </c>
      <c r="V8" s="3" t="s">
        <v>108</v>
      </c>
    </row>
    <row r="9" spans="1:22" s="3" customFormat="1">
      <c r="A9" s="3" t="s">
        <v>26</v>
      </c>
      <c r="B9" s="3" t="s">
        <v>26</v>
      </c>
      <c r="C9" s="3" t="s">
        <v>122</v>
      </c>
      <c r="D9" s="3" t="s">
        <v>3</v>
      </c>
      <c r="E9" s="7" t="s">
        <v>871</v>
      </c>
      <c r="F9" s="3" t="s">
        <v>124</v>
      </c>
      <c r="G9" s="3" t="s">
        <v>125</v>
      </c>
      <c r="H9" s="3" t="s">
        <v>126</v>
      </c>
      <c r="I9" s="3" t="s">
        <v>127</v>
      </c>
      <c r="J9" s="3" t="s">
        <v>128</v>
      </c>
      <c r="K9" s="3" t="s">
        <v>129</v>
      </c>
      <c r="L9" s="3" t="s">
        <v>130</v>
      </c>
      <c r="M9" s="3" t="s">
        <v>1</v>
      </c>
      <c r="N9" s="3" t="s">
        <v>131</v>
      </c>
      <c r="O9" s="3" t="s">
        <v>132</v>
      </c>
      <c r="P9" s="3" t="s">
        <v>133</v>
      </c>
      <c r="Q9" s="3" t="s">
        <v>134</v>
      </c>
      <c r="R9" s="3" t="s">
        <v>135</v>
      </c>
      <c r="S9" s="3" t="s">
        <v>136</v>
      </c>
      <c r="T9" s="3" t="s">
        <v>137</v>
      </c>
      <c r="U9" s="3" t="s">
        <v>0</v>
      </c>
      <c r="V9" s="3" t="s">
        <v>123</v>
      </c>
    </row>
    <row r="10" spans="1:22" s="3" customFormat="1">
      <c r="A10" s="3" t="s">
        <v>26</v>
      </c>
      <c r="B10" s="3" t="s">
        <v>26</v>
      </c>
      <c r="C10" s="3" t="s">
        <v>138</v>
      </c>
      <c r="D10" s="3" t="s">
        <v>3</v>
      </c>
      <c r="E10" s="7" t="s">
        <v>871</v>
      </c>
      <c r="F10" s="3" t="s">
        <v>139</v>
      </c>
      <c r="G10" s="3" t="s">
        <v>140</v>
      </c>
      <c r="H10" s="3" t="s">
        <v>141</v>
      </c>
      <c r="I10" s="3" t="s">
        <v>142</v>
      </c>
      <c r="J10" s="3" t="s">
        <v>143</v>
      </c>
      <c r="K10" s="3" t="s">
        <v>144</v>
      </c>
      <c r="L10" s="3" t="s">
        <v>145</v>
      </c>
      <c r="M10" s="3" t="s">
        <v>0</v>
      </c>
      <c r="N10" s="3" t="s">
        <v>146</v>
      </c>
      <c r="O10" s="3" t="s">
        <v>147</v>
      </c>
      <c r="P10" s="3" t="s">
        <v>148</v>
      </c>
      <c r="Q10" s="3" t="s">
        <v>149</v>
      </c>
      <c r="R10" s="3" t="s">
        <v>150</v>
      </c>
      <c r="S10" s="3" t="s">
        <v>151</v>
      </c>
      <c r="T10" s="3" t="s">
        <v>152</v>
      </c>
      <c r="U10" s="3" t="s">
        <v>0</v>
      </c>
      <c r="V10" s="3" t="s">
        <v>123</v>
      </c>
    </row>
    <row r="11" spans="1:22" s="3" customFormat="1">
      <c r="A11" s="3" t="s">
        <v>26</v>
      </c>
      <c r="B11" s="3" t="s">
        <v>26</v>
      </c>
      <c r="C11" s="3" t="s">
        <v>153</v>
      </c>
      <c r="D11" s="3" t="s">
        <v>0</v>
      </c>
      <c r="F11" s="3" t="s">
        <v>154</v>
      </c>
      <c r="G11" s="3" t="s">
        <v>155</v>
      </c>
      <c r="H11" s="3" t="s">
        <v>156</v>
      </c>
      <c r="I11" s="3" t="s">
        <v>157</v>
      </c>
      <c r="J11" s="3" t="s">
        <v>158</v>
      </c>
      <c r="K11" s="3" t="s">
        <v>159</v>
      </c>
      <c r="L11" s="3" t="s">
        <v>160</v>
      </c>
      <c r="M11" s="3" t="s">
        <v>0</v>
      </c>
      <c r="N11" s="3" t="s">
        <v>161</v>
      </c>
      <c r="O11" s="3" t="s">
        <v>162</v>
      </c>
      <c r="P11" s="3" t="s">
        <v>163</v>
      </c>
      <c r="Q11" s="3" t="s">
        <v>164</v>
      </c>
      <c r="R11" s="3" t="s">
        <v>165</v>
      </c>
      <c r="S11" s="3" t="s">
        <v>166</v>
      </c>
      <c r="T11" s="3" t="s">
        <v>167</v>
      </c>
      <c r="U11" s="3" t="s">
        <v>0</v>
      </c>
      <c r="V11" s="3" t="s">
        <v>108</v>
      </c>
    </row>
    <row r="12" spans="1:22" s="3" customFormat="1">
      <c r="A12" s="3" t="s">
        <v>26</v>
      </c>
      <c r="B12" s="3" t="s">
        <v>26</v>
      </c>
      <c r="C12" s="3" t="s">
        <v>168</v>
      </c>
      <c r="D12" s="3" t="s">
        <v>3</v>
      </c>
      <c r="E12" s="7" t="s">
        <v>872</v>
      </c>
      <c r="F12" s="3" t="s">
        <v>170</v>
      </c>
      <c r="G12" s="3" t="s">
        <v>171</v>
      </c>
      <c r="H12" s="3" t="s">
        <v>172</v>
      </c>
      <c r="I12" s="3" t="s">
        <v>173</v>
      </c>
      <c r="J12" s="3" t="s">
        <v>174</v>
      </c>
      <c r="K12" s="3" t="s">
        <v>175</v>
      </c>
      <c r="L12" s="3" t="s">
        <v>176</v>
      </c>
      <c r="M12" s="3" t="s">
        <v>0</v>
      </c>
      <c r="N12" s="3" t="s">
        <v>177</v>
      </c>
      <c r="O12" s="3" t="s">
        <v>178</v>
      </c>
      <c r="P12" s="3" t="s">
        <v>179</v>
      </c>
      <c r="Q12" s="3" t="s">
        <v>180</v>
      </c>
      <c r="R12" s="3" t="s">
        <v>181</v>
      </c>
      <c r="S12" s="3" t="s">
        <v>182</v>
      </c>
      <c r="T12" s="3" t="s">
        <v>183</v>
      </c>
      <c r="U12" s="3" t="s">
        <v>0</v>
      </c>
      <c r="V12" s="3" t="s">
        <v>169</v>
      </c>
    </row>
    <row r="13" spans="1:22" s="3" customFormat="1">
      <c r="A13" s="3" t="s">
        <v>26</v>
      </c>
      <c r="B13" s="3" t="s">
        <v>26</v>
      </c>
      <c r="C13" s="3" t="s">
        <v>184</v>
      </c>
      <c r="D13" s="3" t="s">
        <v>3</v>
      </c>
      <c r="E13" s="7" t="s">
        <v>869</v>
      </c>
      <c r="F13" s="3" t="s">
        <v>185</v>
      </c>
      <c r="G13" s="3" t="s">
        <v>186</v>
      </c>
      <c r="H13" s="3" t="s">
        <v>187</v>
      </c>
      <c r="I13" s="3" t="s">
        <v>188</v>
      </c>
      <c r="J13" s="3" t="s">
        <v>189</v>
      </c>
      <c r="K13" s="3" t="s">
        <v>190</v>
      </c>
      <c r="L13" s="3" t="s">
        <v>191</v>
      </c>
      <c r="M13" s="3" t="s">
        <v>3</v>
      </c>
      <c r="N13" s="3" t="s">
        <v>192</v>
      </c>
      <c r="O13" s="3" t="s">
        <v>193</v>
      </c>
      <c r="P13" s="3" t="s">
        <v>194</v>
      </c>
      <c r="Q13" s="3" t="s">
        <v>195</v>
      </c>
      <c r="R13" s="3" t="s">
        <v>196</v>
      </c>
      <c r="S13" s="3" t="s">
        <v>197</v>
      </c>
      <c r="T13" s="3" t="s">
        <v>198</v>
      </c>
      <c r="U13" s="3" t="s">
        <v>1</v>
      </c>
      <c r="V13" s="3" t="s">
        <v>62</v>
      </c>
    </row>
    <row r="14" spans="1:22" s="2" customFormat="1">
      <c r="A14" s="2" t="s">
        <v>26</v>
      </c>
      <c r="B14" s="2" t="s">
        <v>26</v>
      </c>
      <c r="C14" s="2" t="s">
        <v>199</v>
      </c>
      <c r="D14" s="2" t="s">
        <v>862</v>
      </c>
      <c r="E14" s="2" t="s">
        <v>873</v>
      </c>
      <c r="F14" s="2" t="s">
        <v>200</v>
      </c>
      <c r="G14" s="2" t="s">
        <v>201</v>
      </c>
      <c r="H14" s="2" t="s">
        <v>202</v>
      </c>
      <c r="I14" s="2" t="s">
        <v>203</v>
      </c>
      <c r="J14" s="2" t="s">
        <v>204</v>
      </c>
      <c r="K14" s="2" t="s">
        <v>68</v>
      </c>
      <c r="L14" s="2" t="s">
        <v>205</v>
      </c>
      <c r="M14" s="2" t="s">
        <v>0</v>
      </c>
      <c r="N14" s="2" t="s">
        <v>206</v>
      </c>
      <c r="O14" s="2" t="s">
        <v>207</v>
      </c>
      <c r="P14" s="2" t="s">
        <v>208</v>
      </c>
      <c r="Q14" s="2" t="s">
        <v>209</v>
      </c>
      <c r="R14" s="2" t="s">
        <v>210</v>
      </c>
      <c r="S14" s="2" t="s">
        <v>211</v>
      </c>
      <c r="T14" s="2" t="s">
        <v>212</v>
      </c>
      <c r="U14" s="2" t="s">
        <v>0</v>
      </c>
      <c r="V14" s="2" t="s">
        <v>108</v>
      </c>
    </row>
    <row r="15" spans="1:22" s="3" customFormat="1">
      <c r="A15" s="3" t="s">
        <v>26</v>
      </c>
      <c r="B15" s="3" t="s">
        <v>26</v>
      </c>
      <c r="C15" s="3" t="s">
        <v>213</v>
      </c>
      <c r="D15" s="3" t="s">
        <v>3</v>
      </c>
      <c r="E15" s="7" t="s">
        <v>871</v>
      </c>
      <c r="F15" s="3" t="s">
        <v>214</v>
      </c>
      <c r="G15" s="3" t="s">
        <v>215</v>
      </c>
      <c r="H15" s="3" t="s">
        <v>216</v>
      </c>
      <c r="I15" s="3" t="s">
        <v>217</v>
      </c>
      <c r="J15" s="3" t="s">
        <v>218</v>
      </c>
      <c r="K15" s="3" t="s">
        <v>219</v>
      </c>
      <c r="L15" s="3" t="s">
        <v>220</v>
      </c>
      <c r="M15" s="3" t="s">
        <v>0</v>
      </c>
      <c r="N15" s="3" t="s">
        <v>221</v>
      </c>
      <c r="O15" s="3" t="s">
        <v>222</v>
      </c>
      <c r="P15" s="3" t="s">
        <v>223</v>
      </c>
      <c r="Q15" s="3" t="s">
        <v>224</v>
      </c>
      <c r="R15" s="3" t="s">
        <v>225</v>
      </c>
      <c r="S15" s="3" t="s">
        <v>226</v>
      </c>
      <c r="T15" s="3" t="s">
        <v>227</v>
      </c>
      <c r="U15" s="3" t="s">
        <v>0</v>
      </c>
      <c r="V15" s="3" t="s">
        <v>123</v>
      </c>
    </row>
    <row r="16" spans="1:22" s="3" customFormat="1">
      <c r="A16" s="3" t="s">
        <v>26</v>
      </c>
      <c r="B16" s="3" t="s">
        <v>26</v>
      </c>
      <c r="C16" s="3" t="s">
        <v>228</v>
      </c>
      <c r="D16" s="3" t="s">
        <v>3</v>
      </c>
      <c r="E16" s="7" t="s">
        <v>871</v>
      </c>
      <c r="F16" s="3" t="s">
        <v>229</v>
      </c>
      <c r="G16" s="3" t="s">
        <v>230</v>
      </c>
      <c r="H16" s="3" t="s">
        <v>231</v>
      </c>
      <c r="I16" s="3" t="s">
        <v>232</v>
      </c>
      <c r="J16" s="3" t="s">
        <v>233</v>
      </c>
      <c r="K16" s="3" t="s">
        <v>211</v>
      </c>
      <c r="L16" s="3" t="s">
        <v>234</v>
      </c>
      <c r="M16" s="3" t="s">
        <v>0</v>
      </c>
      <c r="N16" s="3" t="s">
        <v>235</v>
      </c>
      <c r="O16" s="3" t="s">
        <v>236</v>
      </c>
      <c r="P16" s="3" t="s">
        <v>237</v>
      </c>
      <c r="Q16" s="3" t="s">
        <v>238</v>
      </c>
      <c r="R16" s="3" t="s">
        <v>239</v>
      </c>
      <c r="S16" s="3" t="s">
        <v>240</v>
      </c>
      <c r="T16" s="3" t="s">
        <v>241</v>
      </c>
      <c r="U16" s="3" t="s">
        <v>0</v>
      </c>
      <c r="V16" s="3" t="s">
        <v>123</v>
      </c>
    </row>
    <row r="17" spans="1:22" s="3" customFormat="1">
      <c r="A17" s="3" t="s">
        <v>26</v>
      </c>
      <c r="B17" s="3" t="s">
        <v>26</v>
      </c>
      <c r="C17" s="3" t="s">
        <v>242</v>
      </c>
      <c r="D17" s="3" t="s">
        <v>3</v>
      </c>
      <c r="E17" s="3" t="s">
        <v>871</v>
      </c>
      <c r="F17" s="3" t="s">
        <v>243</v>
      </c>
      <c r="G17" s="3" t="s">
        <v>244</v>
      </c>
      <c r="H17" s="3" t="s">
        <v>245</v>
      </c>
      <c r="I17" s="3" t="s">
        <v>246</v>
      </c>
      <c r="J17" s="3" t="s">
        <v>247</v>
      </c>
      <c r="K17" s="3" t="s">
        <v>248</v>
      </c>
      <c r="L17" s="3" t="s">
        <v>249</v>
      </c>
      <c r="M17" s="3" t="s">
        <v>1</v>
      </c>
      <c r="N17" s="3" t="s">
        <v>250</v>
      </c>
      <c r="O17" s="3" t="s">
        <v>251</v>
      </c>
      <c r="P17" s="3" t="s">
        <v>252</v>
      </c>
      <c r="Q17" s="3" t="s">
        <v>253</v>
      </c>
      <c r="R17" s="3" t="s">
        <v>254</v>
      </c>
      <c r="S17" s="3" t="s">
        <v>255</v>
      </c>
      <c r="T17" s="3" t="s">
        <v>256</v>
      </c>
      <c r="U17" s="3" t="s">
        <v>0</v>
      </c>
      <c r="V17" s="3" t="s">
        <v>123</v>
      </c>
    </row>
    <row r="18" spans="1:22" s="3" customFormat="1">
      <c r="A18" s="3" t="s">
        <v>26</v>
      </c>
      <c r="B18" s="3" t="s">
        <v>26</v>
      </c>
      <c r="C18" s="3" t="s">
        <v>257</v>
      </c>
      <c r="D18" s="3" t="s">
        <v>3</v>
      </c>
      <c r="E18" s="3" t="s">
        <v>871</v>
      </c>
      <c r="F18" s="3" t="s">
        <v>258</v>
      </c>
      <c r="G18" s="3" t="s">
        <v>259</v>
      </c>
      <c r="H18" s="3" t="s">
        <v>260</v>
      </c>
      <c r="I18" s="3" t="s">
        <v>261</v>
      </c>
      <c r="J18" s="3" t="s">
        <v>262</v>
      </c>
      <c r="K18" s="3" t="s">
        <v>263</v>
      </c>
      <c r="L18" s="3" t="s">
        <v>264</v>
      </c>
      <c r="M18" s="3" t="s">
        <v>1</v>
      </c>
      <c r="N18" s="3" t="s">
        <v>265</v>
      </c>
      <c r="O18" s="3" t="s">
        <v>266</v>
      </c>
      <c r="P18" s="3" t="s">
        <v>267</v>
      </c>
      <c r="Q18" s="3" t="s">
        <v>268</v>
      </c>
      <c r="R18" s="3" t="s">
        <v>269</v>
      </c>
      <c r="S18" s="3" t="s">
        <v>270</v>
      </c>
      <c r="T18" s="3" t="s">
        <v>271</v>
      </c>
      <c r="U18" s="3" t="s">
        <v>0</v>
      </c>
      <c r="V18" s="3" t="s">
        <v>123</v>
      </c>
    </row>
    <row r="19" spans="1:22" s="3" customFormat="1">
      <c r="A19" s="3" t="s">
        <v>26</v>
      </c>
      <c r="B19" s="3" t="s">
        <v>272</v>
      </c>
      <c r="C19" s="3" t="s">
        <v>273</v>
      </c>
      <c r="D19" s="3" t="s">
        <v>3</v>
      </c>
      <c r="E19" s="7" t="s">
        <v>869</v>
      </c>
      <c r="F19" s="3" t="s">
        <v>275</v>
      </c>
      <c r="G19" s="3" t="s">
        <v>276</v>
      </c>
      <c r="H19" s="3" t="s">
        <v>277</v>
      </c>
      <c r="I19" s="3" t="s">
        <v>278</v>
      </c>
      <c r="J19" s="3" t="s">
        <v>279</v>
      </c>
      <c r="K19" s="3" t="s">
        <v>280</v>
      </c>
      <c r="L19" s="3" t="s">
        <v>281</v>
      </c>
      <c r="M19" s="3" t="s">
        <v>1</v>
      </c>
      <c r="N19" s="3" t="s">
        <v>282</v>
      </c>
      <c r="O19" s="3" t="s">
        <v>283</v>
      </c>
      <c r="P19" s="3" t="s">
        <v>284</v>
      </c>
      <c r="Q19" s="3" t="s">
        <v>285</v>
      </c>
      <c r="R19" s="3" t="s">
        <v>286</v>
      </c>
      <c r="S19" s="3" t="s">
        <v>287</v>
      </c>
      <c r="T19" s="3" t="s">
        <v>287</v>
      </c>
      <c r="U19" s="3" t="s">
        <v>3</v>
      </c>
      <c r="V19" s="3" t="s">
        <v>274</v>
      </c>
    </row>
    <row r="20" spans="1:22" s="4" customFormat="1">
      <c r="A20" s="4" t="s">
        <v>26</v>
      </c>
      <c r="B20" s="4" t="s">
        <v>272</v>
      </c>
      <c r="C20" s="4" t="s">
        <v>288</v>
      </c>
      <c r="D20" s="4" t="s">
        <v>864</v>
      </c>
      <c r="F20" s="4" t="s">
        <v>289</v>
      </c>
      <c r="G20" s="4" t="s">
        <v>290</v>
      </c>
      <c r="H20" s="4" t="s">
        <v>291</v>
      </c>
      <c r="I20" s="4" t="s">
        <v>292</v>
      </c>
      <c r="J20" s="4" t="s">
        <v>293</v>
      </c>
      <c r="K20" s="4" t="s">
        <v>294</v>
      </c>
      <c r="L20" s="4" t="s">
        <v>294</v>
      </c>
      <c r="M20" s="4" t="s">
        <v>1</v>
      </c>
      <c r="N20" s="4" t="s">
        <v>295</v>
      </c>
      <c r="O20" s="4" t="s">
        <v>296</v>
      </c>
      <c r="P20" s="4" t="s">
        <v>297</v>
      </c>
      <c r="Q20" s="4" t="s">
        <v>298</v>
      </c>
      <c r="R20" s="4" t="s">
        <v>299</v>
      </c>
      <c r="S20" s="4" t="s">
        <v>300</v>
      </c>
      <c r="T20" s="4" t="s">
        <v>301</v>
      </c>
      <c r="U20" s="4" t="s">
        <v>0</v>
      </c>
      <c r="V20" s="4" t="s">
        <v>29</v>
      </c>
    </row>
    <row r="21" spans="1:22" s="3" customFormat="1">
      <c r="A21" s="3" t="s">
        <v>26</v>
      </c>
      <c r="B21" s="3" t="s">
        <v>272</v>
      </c>
      <c r="C21" s="3" t="s">
        <v>302</v>
      </c>
      <c r="D21" s="3" t="s">
        <v>3</v>
      </c>
      <c r="E21" s="7" t="s">
        <v>869</v>
      </c>
      <c r="F21" s="3" t="s">
        <v>304</v>
      </c>
      <c r="G21" s="3" t="s">
        <v>305</v>
      </c>
      <c r="H21" s="3" t="s">
        <v>306</v>
      </c>
      <c r="I21" s="3" t="s">
        <v>305</v>
      </c>
      <c r="J21" s="3" t="s">
        <v>306</v>
      </c>
      <c r="K21" s="3" t="s">
        <v>307</v>
      </c>
      <c r="L21" s="3" t="s">
        <v>307</v>
      </c>
      <c r="M21" s="3" t="s">
        <v>2</v>
      </c>
      <c r="N21" s="3" t="s">
        <v>308</v>
      </c>
      <c r="O21" s="3" t="s">
        <v>309</v>
      </c>
      <c r="Q21" s="3" t="s">
        <v>309</v>
      </c>
      <c r="S21" s="3" t="s">
        <v>310</v>
      </c>
      <c r="T21" s="3" t="s">
        <v>310</v>
      </c>
      <c r="U21" s="3" t="s">
        <v>3</v>
      </c>
      <c r="V21" s="3" t="s">
        <v>303</v>
      </c>
    </row>
    <row r="22" spans="1:22" s="3" customFormat="1">
      <c r="A22" s="3" t="s">
        <v>26</v>
      </c>
      <c r="B22" s="3" t="s">
        <v>311</v>
      </c>
      <c r="C22" s="3" t="s">
        <v>312</v>
      </c>
      <c r="D22" s="3" t="s">
        <v>3</v>
      </c>
      <c r="E22" s="7" t="s">
        <v>869</v>
      </c>
      <c r="F22" s="3" t="s">
        <v>314</v>
      </c>
      <c r="G22" s="3" t="s">
        <v>315</v>
      </c>
      <c r="H22" s="3" t="s">
        <v>316</v>
      </c>
      <c r="I22" s="3" t="s">
        <v>317</v>
      </c>
      <c r="J22" s="3" t="s">
        <v>318</v>
      </c>
      <c r="K22" s="3" t="s">
        <v>58</v>
      </c>
      <c r="L22" s="3" t="s">
        <v>58</v>
      </c>
      <c r="M22" s="3" t="s">
        <v>3</v>
      </c>
      <c r="N22" s="3" t="s">
        <v>319</v>
      </c>
      <c r="O22" s="3" t="s">
        <v>320</v>
      </c>
      <c r="P22" s="3" t="s">
        <v>321</v>
      </c>
      <c r="Q22" s="3" t="s">
        <v>322</v>
      </c>
      <c r="R22" s="3" t="s">
        <v>323</v>
      </c>
      <c r="S22" s="3" t="s">
        <v>59</v>
      </c>
      <c r="T22" s="3" t="s">
        <v>324</v>
      </c>
      <c r="U22" s="3" t="s">
        <v>0</v>
      </c>
      <c r="V22" s="3" t="s">
        <v>313</v>
      </c>
    </row>
    <row r="23" spans="1:22" s="3" customFormat="1">
      <c r="A23" s="3" t="s">
        <v>26</v>
      </c>
      <c r="B23" s="3" t="s">
        <v>311</v>
      </c>
      <c r="C23" s="3" t="s">
        <v>325</v>
      </c>
      <c r="D23" s="3" t="s">
        <v>0</v>
      </c>
      <c r="F23" s="3" t="s">
        <v>326</v>
      </c>
      <c r="G23" s="3" t="s">
        <v>327</v>
      </c>
      <c r="H23" s="3" t="s">
        <v>328</v>
      </c>
      <c r="I23" s="3" t="s">
        <v>329</v>
      </c>
      <c r="J23" s="3" t="s">
        <v>330</v>
      </c>
      <c r="K23" s="3" t="s">
        <v>167</v>
      </c>
      <c r="L23" s="3" t="s">
        <v>331</v>
      </c>
      <c r="M23" s="3" t="s">
        <v>0</v>
      </c>
      <c r="N23" s="3" t="s">
        <v>332</v>
      </c>
      <c r="O23" s="3" t="s">
        <v>333</v>
      </c>
      <c r="P23" s="3" t="s">
        <v>334</v>
      </c>
      <c r="Q23" s="3" t="s">
        <v>335</v>
      </c>
      <c r="R23" s="3" t="s">
        <v>336</v>
      </c>
      <c r="S23" s="3" t="s">
        <v>337</v>
      </c>
      <c r="T23" s="3" t="s">
        <v>338</v>
      </c>
      <c r="U23" s="3" t="s">
        <v>0</v>
      </c>
      <c r="V23" s="3" t="s">
        <v>108</v>
      </c>
    </row>
    <row r="24" spans="1:22" s="3" customFormat="1">
      <c r="A24" s="3" t="s">
        <v>26</v>
      </c>
      <c r="B24" s="3" t="s">
        <v>339</v>
      </c>
      <c r="C24" s="3" t="s">
        <v>340</v>
      </c>
      <c r="D24" s="3" t="s">
        <v>0</v>
      </c>
      <c r="F24" s="3" t="s">
        <v>341</v>
      </c>
      <c r="G24" s="3" t="s">
        <v>342</v>
      </c>
      <c r="H24" s="3" t="s">
        <v>343</v>
      </c>
      <c r="I24" s="3" t="s">
        <v>344</v>
      </c>
      <c r="J24" s="3" t="s">
        <v>345</v>
      </c>
      <c r="K24" s="3" t="s">
        <v>346</v>
      </c>
      <c r="L24" s="3" t="s">
        <v>36</v>
      </c>
      <c r="M24" s="3" t="s">
        <v>0</v>
      </c>
      <c r="N24" s="3" t="s">
        <v>347</v>
      </c>
      <c r="O24" s="3" t="s">
        <v>348</v>
      </c>
      <c r="P24" s="3" t="s">
        <v>349</v>
      </c>
      <c r="Q24" s="3" t="s">
        <v>350</v>
      </c>
      <c r="R24" s="3" t="s">
        <v>351</v>
      </c>
      <c r="S24" s="3" t="s">
        <v>280</v>
      </c>
      <c r="T24" s="3" t="s">
        <v>59</v>
      </c>
      <c r="U24" s="3" t="s">
        <v>0</v>
      </c>
      <c r="V24" s="3" t="s">
        <v>108</v>
      </c>
    </row>
    <row r="25" spans="1:22" s="3" customFormat="1">
      <c r="A25" s="3" t="s">
        <v>26</v>
      </c>
      <c r="B25" s="3" t="s">
        <v>352</v>
      </c>
      <c r="C25" s="3" t="s">
        <v>353</v>
      </c>
      <c r="D25" s="3" t="s">
        <v>862</v>
      </c>
      <c r="E25" s="7" t="s">
        <v>869</v>
      </c>
      <c r="F25" s="3" t="s">
        <v>354</v>
      </c>
      <c r="G25" s="3" t="s">
        <v>355</v>
      </c>
      <c r="H25" s="3" t="s">
        <v>356</v>
      </c>
      <c r="I25" s="3" t="s">
        <v>357</v>
      </c>
      <c r="J25" s="3" t="s">
        <v>358</v>
      </c>
      <c r="K25" s="3" t="s">
        <v>43</v>
      </c>
      <c r="L25" s="3" t="s">
        <v>114</v>
      </c>
      <c r="M25" s="3" t="s">
        <v>1</v>
      </c>
      <c r="N25" s="3" t="s">
        <v>359</v>
      </c>
      <c r="O25" s="3" t="s">
        <v>360</v>
      </c>
      <c r="P25" s="3" t="s">
        <v>361</v>
      </c>
      <c r="Q25" s="3" t="s">
        <v>362</v>
      </c>
      <c r="R25" s="3" t="s">
        <v>363</v>
      </c>
      <c r="S25" s="3" t="s">
        <v>43</v>
      </c>
      <c r="T25" s="3" t="s">
        <v>51</v>
      </c>
      <c r="U25" s="3" t="s">
        <v>0</v>
      </c>
      <c r="V25" s="3" t="s">
        <v>29</v>
      </c>
    </row>
    <row r="26" spans="1:22" s="3" customFormat="1">
      <c r="A26" s="3" t="s">
        <v>26</v>
      </c>
      <c r="B26" s="3" t="s">
        <v>364</v>
      </c>
      <c r="C26" s="3" t="s">
        <v>365</v>
      </c>
      <c r="D26" s="3" t="s">
        <v>863</v>
      </c>
      <c r="F26" s="3" t="s">
        <v>366</v>
      </c>
      <c r="G26" s="3" t="s">
        <v>367</v>
      </c>
      <c r="H26" s="3" t="s">
        <v>368</v>
      </c>
      <c r="I26" s="3" t="s">
        <v>369</v>
      </c>
      <c r="J26" s="3" t="s">
        <v>370</v>
      </c>
      <c r="K26" s="3" t="s">
        <v>324</v>
      </c>
      <c r="L26" s="3" t="s">
        <v>371</v>
      </c>
      <c r="M26" s="3" t="s">
        <v>3</v>
      </c>
      <c r="N26" s="3" t="s">
        <v>372</v>
      </c>
      <c r="O26" s="3" t="s">
        <v>373</v>
      </c>
      <c r="P26" s="3" t="s">
        <v>374</v>
      </c>
      <c r="Q26" s="3" t="s">
        <v>375</v>
      </c>
      <c r="R26" s="3" t="s">
        <v>376</v>
      </c>
      <c r="S26" s="3" t="s">
        <v>377</v>
      </c>
      <c r="T26" s="3" t="s">
        <v>371</v>
      </c>
      <c r="U26" s="3" t="s">
        <v>1</v>
      </c>
      <c r="V26" s="3" t="s">
        <v>62</v>
      </c>
    </row>
    <row r="27" spans="1:22" s="4" customFormat="1">
      <c r="A27" s="4" t="s">
        <v>26</v>
      </c>
      <c r="B27" s="4" t="s">
        <v>378</v>
      </c>
      <c r="C27" s="4" t="s">
        <v>379</v>
      </c>
      <c r="D27" s="4" t="s">
        <v>864</v>
      </c>
      <c r="F27" s="3" t="s">
        <v>380</v>
      </c>
      <c r="G27" s="3" t="s">
        <v>381</v>
      </c>
      <c r="H27" s="4" t="s">
        <v>382</v>
      </c>
      <c r="I27" s="3" t="s">
        <v>383</v>
      </c>
      <c r="J27" s="4" t="s">
        <v>384</v>
      </c>
      <c r="K27" s="4" t="s">
        <v>385</v>
      </c>
      <c r="L27" s="4" t="s">
        <v>386</v>
      </c>
      <c r="M27" s="4" t="s">
        <v>1</v>
      </c>
      <c r="N27" s="3" t="s">
        <v>342</v>
      </c>
      <c r="O27" s="3" t="s">
        <v>387</v>
      </c>
      <c r="P27" s="4" t="s">
        <v>388</v>
      </c>
      <c r="Q27" s="3" t="s">
        <v>389</v>
      </c>
      <c r="R27" s="4" t="s">
        <v>390</v>
      </c>
      <c r="S27" s="4" t="s">
        <v>281</v>
      </c>
      <c r="T27" s="4" t="s">
        <v>84</v>
      </c>
      <c r="U27" s="4" t="s">
        <v>0</v>
      </c>
      <c r="V27" s="4" t="s">
        <v>29</v>
      </c>
    </row>
    <row r="28" spans="1:22" s="4" customFormat="1">
      <c r="A28" s="4" t="s">
        <v>26</v>
      </c>
      <c r="B28" s="4" t="s">
        <v>391</v>
      </c>
      <c r="C28" s="4" t="s">
        <v>392</v>
      </c>
      <c r="D28" s="4" t="s">
        <v>864</v>
      </c>
      <c r="F28" s="3" t="s">
        <v>393</v>
      </c>
      <c r="G28" s="3" t="s">
        <v>394</v>
      </c>
      <c r="H28" s="4" t="s">
        <v>395</v>
      </c>
      <c r="I28" s="3" t="s">
        <v>396</v>
      </c>
      <c r="J28" s="4" t="s">
        <v>397</v>
      </c>
      <c r="K28" s="4" t="s">
        <v>59</v>
      </c>
      <c r="L28" s="4" t="s">
        <v>371</v>
      </c>
      <c r="M28" s="4" t="s">
        <v>1</v>
      </c>
      <c r="N28" s="3" t="s">
        <v>398</v>
      </c>
      <c r="O28" s="3" t="s">
        <v>399</v>
      </c>
      <c r="P28" s="4" t="s">
        <v>400</v>
      </c>
      <c r="Q28" s="3" t="s">
        <v>401</v>
      </c>
      <c r="R28" s="4" t="s">
        <v>402</v>
      </c>
      <c r="S28" s="4" t="s">
        <v>280</v>
      </c>
      <c r="T28" s="4" t="s">
        <v>59</v>
      </c>
      <c r="U28" s="4" t="s">
        <v>0</v>
      </c>
      <c r="V28" s="4" t="s">
        <v>29</v>
      </c>
    </row>
    <row r="29" spans="1:22" s="3" customFormat="1">
      <c r="A29" s="3" t="s">
        <v>26</v>
      </c>
      <c r="B29" s="3" t="s">
        <v>403</v>
      </c>
      <c r="C29" s="3" t="s">
        <v>404</v>
      </c>
      <c r="D29" s="3" t="s">
        <v>863</v>
      </c>
      <c r="F29" s="3" t="s">
        <v>405</v>
      </c>
      <c r="G29" s="3" t="s">
        <v>406</v>
      </c>
      <c r="H29" s="3" t="s">
        <v>407</v>
      </c>
      <c r="I29" s="3" t="s">
        <v>408</v>
      </c>
      <c r="J29" s="3" t="s">
        <v>409</v>
      </c>
      <c r="K29" s="3" t="s">
        <v>410</v>
      </c>
      <c r="L29" s="3" t="s">
        <v>115</v>
      </c>
      <c r="M29" s="3" t="s">
        <v>3</v>
      </c>
      <c r="N29" s="3" t="s">
        <v>411</v>
      </c>
      <c r="O29" s="3" t="s">
        <v>412</v>
      </c>
      <c r="P29" s="3" t="s">
        <v>413</v>
      </c>
      <c r="Q29" s="3" t="s">
        <v>414</v>
      </c>
      <c r="R29" s="3" t="s">
        <v>415</v>
      </c>
      <c r="S29" s="3" t="s">
        <v>416</v>
      </c>
      <c r="T29" s="3" t="s">
        <v>416</v>
      </c>
      <c r="U29" s="3" t="s">
        <v>1</v>
      </c>
      <c r="V29" s="3" t="s">
        <v>62</v>
      </c>
    </row>
    <row r="30" spans="1:22" s="4" customFormat="1">
      <c r="A30" s="4" t="s">
        <v>26</v>
      </c>
      <c r="B30" s="4" t="s">
        <v>417</v>
      </c>
      <c r="C30" s="4" t="s">
        <v>418</v>
      </c>
      <c r="D30" s="4" t="s">
        <v>864</v>
      </c>
      <c r="F30" s="3" t="s">
        <v>419</v>
      </c>
      <c r="G30" s="3" t="s">
        <v>420</v>
      </c>
      <c r="H30" s="4" t="s">
        <v>421</v>
      </c>
      <c r="I30" s="3" t="s">
        <v>422</v>
      </c>
      <c r="J30" s="4" t="s">
        <v>423</v>
      </c>
      <c r="K30" s="4" t="s">
        <v>424</v>
      </c>
      <c r="L30" s="4" t="s">
        <v>84</v>
      </c>
      <c r="M30" s="4" t="s">
        <v>0</v>
      </c>
      <c r="N30" s="3" t="s">
        <v>425</v>
      </c>
      <c r="O30" s="3" t="s">
        <v>426</v>
      </c>
      <c r="P30" s="4" t="s">
        <v>427</v>
      </c>
      <c r="Q30" s="3" t="s">
        <v>428</v>
      </c>
      <c r="R30" s="4" t="s">
        <v>429</v>
      </c>
      <c r="S30" s="4" t="s">
        <v>430</v>
      </c>
      <c r="T30" s="4" t="s">
        <v>430</v>
      </c>
      <c r="U30" s="4" t="s">
        <v>1</v>
      </c>
      <c r="V30" s="4" t="s">
        <v>29</v>
      </c>
    </row>
    <row r="31" spans="1:22" s="4" customFormat="1">
      <c r="A31" s="4" t="s">
        <v>26</v>
      </c>
      <c r="B31" s="4" t="s">
        <v>431</v>
      </c>
      <c r="C31" s="4" t="s">
        <v>432</v>
      </c>
      <c r="D31" s="4" t="s">
        <v>864</v>
      </c>
      <c r="F31" s="3" t="s">
        <v>433</v>
      </c>
      <c r="G31" s="3" t="s">
        <v>434</v>
      </c>
      <c r="H31" s="4" t="s">
        <v>435</v>
      </c>
      <c r="I31" s="3" t="s">
        <v>436</v>
      </c>
      <c r="J31" s="4" t="s">
        <v>437</v>
      </c>
      <c r="K31" s="4" t="s">
        <v>430</v>
      </c>
      <c r="L31" s="4" t="s">
        <v>386</v>
      </c>
      <c r="M31" s="4" t="s">
        <v>0</v>
      </c>
      <c r="N31" s="3" t="s">
        <v>438</v>
      </c>
      <c r="O31" s="3" t="s">
        <v>439</v>
      </c>
      <c r="P31" s="4" t="s">
        <v>440</v>
      </c>
      <c r="Q31" s="3" t="s">
        <v>441</v>
      </c>
      <c r="R31" s="4" t="s">
        <v>442</v>
      </c>
      <c r="S31" s="4" t="s">
        <v>121</v>
      </c>
      <c r="T31" s="4" t="s">
        <v>58</v>
      </c>
      <c r="U31" s="4" t="s">
        <v>1</v>
      </c>
      <c r="V31" s="4" t="s">
        <v>29</v>
      </c>
    </row>
    <row r="32" spans="1:22" s="3" customFormat="1">
      <c r="A32" s="3" t="s">
        <v>26</v>
      </c>
      <c r="B32" s="3" t="s">
        <v>443</v>
      </c>
      <c r="C32" s="3" t="s">
        <v>444</v>
      </c>
      <c r="D32" s="3" t="s">
        <v>862</v>
      </c>
      <c r="E32" s="7" t="s">
        <v>874</v>
      </c>
      <c r="F32" s="3" t="s">
        <v>446</v>
      </c>
      <c r="G32" s="3" t="s">
        <v>447</v>
      </c>
      <c r="H32" s="3" t="s">
        <v>448</v>
      </c>
      <c r="I32" s="3" t="s">
        <v>447</v>
      </c>
      <c r="J32" s="3" t="s">
        <v>448</v>
      </c>
      <c r="K32" s="3" t="s">
        <v>449</v>
      </c>
      <c r="L32" s="3" t="s">
        <v>449</v>
      </c>
      <c r="M32" s="3" t="s">
        <v>2</v>
      </c>
      <c r="N32" s="3" t="s">
        <v>450</v>
      </c>
      <c r="O32" s="3" t="s">
        <v>451</v>
      </c>
      <c r="P32" s="3" t="s">
        <v>452</v>
      </c>
      <c r="Q32" s="3" t="s">
        <v>451</v>
      </c>
      <c r="R32" s="3" t="s">
        <v>452</v>
      </c>
      <c r="S32" s="3" t="s">
        <v>453</v>
      </c>
      <c r="T32" s="3" t="s">
        <v>453</v>
      </c>
      <c r="U32" s="3" t="s">
        <v>2</v>
      </c>
      <c r="V32" s="3" t="s">
        <v>445</v>
      </c>
    </row>
    <row r="33" spans="1:22" s="4" customFormat="1">
      <c r="A33" s="4" t="s">
        <v>26</v>
      </c>
      <c r="B33" s="4" t="s">
        <v>454</v>
      </c>
      <c r="C33" s="4" t="s">
        <v>455</v>
      </c>
      <c r="D33" s="4" t="s">
        <v>864</v>
      </c>
      <c r="F33" s="3" t="s">
        <v>456</v>
      </c>
      <c r="G33" s="3" t="s">
        <v>457</v>
      </c>
      <c r="H33" s="4" t="s">
        <v>458</v>
      </c>
      <c r="I33" s="3" t="s">
        <v>459</v>
      </c>
      <c r="J33" s="4" t="s">
        <v>460</v>
      </c>
      <c r="K33" s="4" t="s">
        <v>83</v>
      </c>
      <c r="L33" s="4" t="s">
        <v>84</v>
      </c>
      <c r="M33" s="4" t="s">
        <v>1</v>
      </c>
      <c r="N33" s="3" t="s">
        <v>461</v>
      </c>
      <c r="O33" s="3" t="s">
        <v>462</v>
      </c>
      <c r="P33" s="4" t="s">
        <v>463</v>
      </c>
      <c r="Q33" s="3" t="s">
        <v>464</v>
      </c>
      <c r="R33" s="4" t="s">
        <v>465</v>
      </c>
      <c r="S33" s="4" t="s">
        <v>466</v>
      </c>
      <c r="T33" s="4" t="s">
        <v>58</v>
      </c>
      <c r="U33" s="4" t="s">
        <v>0</v>
      </c>
      <c r="V33" s="4" t="s">
        <v>29</v>
      </c>
    </row>
    <row r="34" spans="1:22" s="4" customFormat="1">
      <c r="A34" s="4" t="s">
        <v>26</v>
      </c>
      <c r="B34" s="4" t="s">
        <v>467</v>
      </c>
      <c r="C34" s="4" t="s">
        <v>468</v>
      </c>
      <c r="D34" s="4" t="s">
        <v>864</v>
      </c>
      <c r="F34" s="3" t="s">
        <v>469</v>
      </c>
      <c r="G34" s="3" t="s">
        <v>470</v>
      </c>
      <c r="H34" s="4" t="s">
        <v>376</v>
      </c>
      <c r="I34" s="3" t="s">
        <v>471</v>
      </c>
      <c r="J34" s="4" t="s">
        <v>472</v>
      </c>
      <c r="K34" s="4" t="s">
        <v>324</v>
      </c>
      <c r="L34" s="4" t="s">
        <v>430</v>
      </c>
      <c r="M34" s="4" t="s">
        <v>0</v>
      </c>
      <c r="N34" s="3" t="s">
        <v>473</v>
      </c>
      <c r="O34" s="3" t="s">
        <v>474</v>
      </c>
      <c r="P34" s="4" t="s">
        <v>304</v>
      </c>
      <c r="Q34" s="3" t="s">
        <v>475</v>
      </c>
      <c r="R34" s="4" t="s">
        <v>476</v>
      </c>
      <c r="S34" s="4" t="s">
        <v>477</v>
      </c>
      <c r="T34" s="4" t="s">
        <v>477</v>
      </c>
      <c r="U34" s="4" t="s">
        <v>1</v>
      </c>
      <c r="V34" s="4" t="s">
        <v>29</v>
      </c>
    </row>
    <row r="35" spans="1:22" s="4" customFormat="1">
      <c r="A35" s="4" t="s">
        <v>26</v>
      </c>
      <c r="B35" s="4" t="s">
        <v>478</v>
      </c>
      <c r="C35" s="4" t="s">
        <v>479</v>
      </c>
      <c r="D35" s="4" t="s">
        <v>864</v>
      </c>
      <c r="F35" s="3" t="s">
        <v>480</v>
      </c>
      <c r="G35" s="3" t="s">
        <v>481</v>
      </c>
      <c r="H35" s="4" t="s">
        <v>482</v>
      </c>
      <c r="I35" s="3" t="s">
        <v>483</v>
      </c>
      <c r="J35" s="4" t="s">
        <v>484</v>
      </c>
      <c r="K35" s="4" t="s">
        <v>485</v>
      </c>
      <c r="L35" s="4" t="s">
        <v>42</v>
      </c>
      <c r="M35" s="4" t="s">
        <v>0</v>
      </c>
      <c r="N35" s="3" t="s">
        <v>486</v>
      </c>
      <c r="O35" s="3" t="s">
        <v>487</v>
      </c>
      <c r="P35" s="4" t="s">
        <v>488</v>
      </c>
      <c r="Q35" s="3" t="s">
        <v>489</v>
      </c>
      <c r="R35" s="4" t="s">
        <v>490</v>
      </c>
      <c r="S35" s="4" t="s">
        <v>36</v>
      </c>
      <c r="T35" s="4" t="s">
        <v>324</v>
      </c>
      <c r="U35" s="4" t="s">
        <v>0</v>
      </c>
      <c r="V35" s="4" t="s">
        <v>108</v>
      </c>
    </row>
    <row r="36" spans="1:22" s="4" customFormat="1">
      <c r="A36" s="4" t="s">
        <v>26</v>
      </c>
      <c r="B36" s="4" t="s">
        <v>492</v>
      </c>
      <c r="C36" s="4" t="s">
        <v>493</v>
      </c>
      <c r="D36" s="4" t="s">
        <v>864</v>
      </c>
      <c r="F36" s="3" t="s">
        <v>494</v>
      </c>
      <c r="G36" s="3" t="s">
        <v>495</v>
      </c>
      <c r="H36" s="4" t="s">
        <v>496</v>
      </c>
      <c r="I36" s="3" t="s">
        <v>497</v>
      </c>
      <c r="J36" s="4" t="s">
        <v>498</v>
      </c>
      <c r="K36" s="4" t="s">
        <v>83</v>
      </c>
      <c r="L36" s="4" t="s">
        <v>83</v>
      </c>
      <c r="M36" s="4" t="s">
        <v>3</v>
      </c>
      <c r="N36" s="3" t="s">
        <v>499</v>
      </c>
      <c r="O36" s="3" t="s">
        <v>500</v>
      </c>
      <c r="P36" s="4" t="s">
        <v>501</v>
      </c>
      <c r="Q36" s="3" t="s">
        <v>502</v>
      </c>
      <c r="R36" s="4" t="s">
        <v>503</v>
      </c>
      <c r="S36" s="4" t="s">
        <v>240</v>
      </c>
      <c r="T36" s="4" t="s">
        <v>166</v>
      </c>
      <c r="U36" s="4" t="s">
        <v>0</v>
      </c>
      <c r="V36" s="4" t="s">
        <v>313</v>
      </c>
    </row>
    <row r="37" spans="1:22" s="4" customFormat="1">
      <c r="A37" s="4" t="s">
        <v>26</v>
      </c>
      <c r="B37" s="4" t="s">
        <v>504</v>
      </c>
      <c r="C37" s="4" t="s">
        <v>505</v>
      </c>
      <c r="D37" s="4" t="s">
        <v>864</v>
      </c>
      <c r="F37" t="s">
        <v>507</v>
      </c>
      <c r="G37" t="s">
        <v>508</v>
      </c>
      <c r="H37" s="4" t="s">
        <v>509</v>
      </c>
      <c r="I37" t="s">
        <v>510</v>
      </c>
      <c r="J37" s="4" t="s">
        <v>511</v>
      </c>
      <c r="K37" s="4" t="s">
        <v>59</v>
      </c>
      <c r="L37" s="4" t="s">
        <v>83</v>
      </c>
      <c r="M37" s="4" t="s">
        <v>1</v>
      </c>
      <c r="N37" t="s">
        <v>512</v>
      </c>
      <c r="O37" t="s">
        <v>513</v>
      </c>
      <c r="P37" s="4" t="s">
        <v>514</v>
      </c>
      <c r="Q37" t="s">
        <v>515</v>
      </c>
      <c r="R37" s="4" t="s">
        <v>516</v>
      </c>
      <c r="S37" s="4" t="s">
        <v>59</v>
      </c>
      <c r="T37" s="4" t="s">
        <v>83</v>
      </c>
      <c r="U37" s="4" t="s">
        <v>1</v>
      </c>
      <c r="V37" s="4" t="s">
        <v>506</v>
      </c>
    </row>
    <row r="38" spans="1:22" s="4" customFormat="1">
      <c r="A38" s="4" t="s">
        <v>26</v>
      </c>
      <c r="B38" s="4" t="s">
        <v>517</v>
      </c>
      <c r="C38" s="4" t="s">
        <v>518</v>
      </c>
      <c r="D38" s="4" t="s">
        <v>864</v>
      </c>
      <c r="F38" t="s">
        <v>519</v>
      </c>
      <c r="G38" t="s">
        <v>520</v>
      </c>
      <c r="H38" s="4" t="s">
        <v>521</v>
      </c>
      <c r="I38" t="s">
        <v>522</v>
      </c>
      <c r="J38" s="4" t="s">
        <v>523</v>
      </c>
      <c r="K38" s="4" t="s">
        <v>83</v>
      </c>
      <c r="L38" s="4" t="s">
        <v>386</v>
      </c>
      <c r="M38" s="4" t="s">
        <v>0</v>
      </c>
      <c r="N38" t="s">
        <v>524</v>
      </c>
      <c r="O38" t="s">
        <v>525</v>
      </c>
      <c r="P38" s="4" t="s">
        <v>526</v>
      </c>
      <c r="Q38" t="s">
        <v>527</v>
      </c>
      <c r="R38" s="4" t="s">
        <v>528</v>
      </c>
      <c r="S38" s="4" t="s">
        <v>84</v>
      </c>
      <c r="T38" s="4" t="s">
        <v>324</v>
      </c>
      <c r="U38" s="4" t="s">
        <v>0</v>
      </c>
      <c r="V38" s="4" t="s">
        <v>108</v>
      </c>
    </row>
    <row r="39" spans="1:22">
      <c r="A39" t="s">
        <v>26</v>
      </c>
      <c r="B39" t="s">
        <v>529</v>
      </c>
      <c r="C39" t="s">
        <v>530</v>
      </c>
      <c r="D39" t="s">
        <v>2</v>
      </c>
      <c r="F39" t="s">
        <v>531</v>
      </c>
      <c r="G39" t="s">
        <v>532</v>
      </c>
      <c r="H39" t="s">
        <v>533</v>
      </c>
      <c r="I39" t="s">
        <v>532</v>
      </c>
      <c r="J39" t="s">
        <v>533</v>
      </c>
      <c r="K39" t="s">
        <v>59</v>
      </c>
      <c r="L39" t="s">
        <v>59</v>
      </c>
      <c r="M39" t="s">
        <v>2</v>
      </c>
      <c r="N39" t="s">
        <v>534</v>
      </c>
      <c r="O39" t="s">
        <v>535</v>
      </c>
      <c r="P39" t="s">
        <v>536</v>
      </c>
      <c r="Q39" t="s">
        <v>535</v>
      </c>
      <c r="R39" t="s">
        <v>536</v>
      </c>
      <c r="S39" t="s">
        <v>537</v>
      </c>
      <c r="T39" t="s">
        <v>537</v>
      </c>
      <c r="U39" t="s">
        <v>2</v>
      </c>
      <c r="V39" t="s">
        <v>445</v>
      </c>
    </row>
    <row r="40" spans="1:22" s="4" customFormat="1">
      <c r="A40" s="4" t="s">
        <v>26</v>
      </c>
      <c r="B40" s="4" t="s">
        <v>529</v>
      </c>
      <c r="C40" s="4" t="s">
        <v>538</v>
      </c>
      <c r="D40" s="4" t="s">
        <v>864</v>
      </c>
      <c r="F40" t="s">
        <v>539</v>
      </c>
      <c r="G40" t="s">
        <v>540</v>
      </c>
      <c r="H40" s="4" t="s">
        <v>541</v>
      </c>
      <c r="I40" t="s">
        <v>542</v>
      </c>
      <c r="J40" s="4" t="s">
        <v>543</v>
      </c>
      <c r="K40" s="4" t="s">
        <v>166</v>
      </c>
      <c r="L40" s="4" t="s">
        <v>241</v>
      </c>
      <c r="M40" s="4" t="s">
        <v>0</v>
      </c>
      <c r="N40" t="s">
        <v>544</v>
      </c>
      <c r="O40" t="s">
        <v>545</v>
      </c>
      <c r="P40" s="4" t="s">
        <v>546</v>
      </c>
      <c r="Q40" t="s">
        <v>547</v>
      </c>
      <c r="R40" s="4" t="s">
        <v>548</v>
      </c>
      <c r="S40" s="4" t="s">
        <v>477</v>
      </c>
      <c r="T40" s="4" t="s">
        <v>114</v>
      </c>
      <c r="U40" s="4" t="s">
        <v>0</v>
      </c>
      <c r="V40" s="4" t="s">
        <v>108</v>
      </c>
    </row>
    <row r="41" spans="1:22" s="4" customFormat="1">
      <c r="A41" s="4" t="s">
        <v>26</v>
      </c>
      <c r="B41" s="4" t="s">
        <v>549</v>
      </c>
      <c r="C41" s="4" t="s">
        <v>550</v>
      </c>
      <c r="D41" s="4" t="s">
        <v>864</v>
      </c>
      <c r="F41" t="s">
        <v>551</v>
      </c>
      <c r="G41" t="s">
        <v>552</v>
      </c>
      <c r="H41" s="4" t="s">
        <v>553</v>
      </c>
      <c r="I41" t="s">
        <v>554</v>
      </c>
      <c r="J41" s="4" t="s">
        <v>555</v>
      </c>
      <c r="K41" s="4" t="s">
        <v>83</v>
      </c>
      <c r="L41" s="4" t="s">
        <v>59</v>
      </c>
      <c r="M41" s="4" t="s">
        <v>1</v>
      </c>
      <c r="N41" t="s">
        <v>556</v>
      </c>
      <c r="O41" t="s">
        <v>557</v>
      </c>
      <c r="P41" s="4" t="s">
        <v>558</v>
      </c>
      <c r="Q41" t="s">
        <v>559</v>
      </c>
      <c r="R41" s="4" t="s">
        <v>560</v>
      </c>
      <c r="S41" s="4" t="s">
        <v>324</v>
      </c>
      <c r="T41" s="4" t="s">
        <v>324</v>
      </c>
      <c r="U41" s="4" t="s">
        <v>1</v>
      </c>
      <c r="V41" s="4" t="s">
        <v>506</v>
      </c>
    </row>
    <row r="42" spans="1:22" s="3" customFormat="1">
      <c r="A42" s="3" t="s">
        <v>26</v>
      </c>
      <c r="B42" s="3" t="s">
        <v>561</v>
      </c>
      <c r="C42" s="3" t="s">
        <v>562</v>
      </c>
      <c r="D42" s="3" t="s">
        <v>3</v>
      </c>
      <c r="E42" s="7" t="s">
        <v>869</v>
      </c>
      <c r="F42" s="3" t="s">
        <v>563</v>
      </c>
      <c r="G42" s="3" t="s">
        <v>564</v>
      </c>
      <c r="H42" s="3" t="s">
        <v>565</v>
      </c>
      <c r="I42" s="3" t="s">
        <v>566</v>
      </c>
      <c r="J42" s="3" t="s">
        <v>567</v>
      </c>
      <c r="K42" s="3" t="s">
        <v>568</v>
      </c>
      <c r="L42" s="3" t="s">
        <v>568</v>
      </c>
      <c r="M42" s="3" t="s">
        <v>3</v>
      </c>
      <c r="N42" s="3" t="s">
        <v>569</v>
      </c>
      <c r="O42" s="3" t="s">
        <v>570</v>
      </c>
      <c r="P42" s="3" t="s">
        <v>571</v>
      </c>
      <c r="Q42" s="3" t="s">
        <v>572</v>
      </c>
      <c r="R42" s="3" t="s">
        <v>573</v>
      </c>
      <c r="S42" s="3" t="s">
        <v>574</v>
      </c>
      <c r="T42" s="3" t="s">
        <v>42</v>
      </c>
      <c r="U42" s="3" t="s">
        <v>0</v>
      </c>
      <c r="V42" s="3" t="s">
        <v>313</v>
      </c>
    </row>
    <row r="43" spans="1:22" s="3" customFormat="1">
      <c r="A43" s="3" t="s">
        <v>26</v>
      </c>
      <c r="B43" s="3" t="s">
        <v>575</v>
      </c>
      <c r="C43" s="3" t="s">
        <v>576</v>
      </c>
      <c r="D43" s="3" t="s">
        <v>862</v>
      </c>
      <c r="E43" s="7" t="s">
        <v>869</v>
      </c>
      <c r="F43" s="3" t="s">
        <v>577</v>
      </c>
      <c r="G43" s="3" t="s">
        <v>578</v>
      </c>
      <c r="H43" s="3" t="s">
        <v>579</v>
      </c>
      <c r="I43" s="3" t="s">
        <v>580</v>
      </c>
      <c r="J43" s="3" t="s">
        <v>581</v>
      </c>
      <c r="K43" s="3" t="s">
        <v>35</v>
      </c>
      <c r="L43" s="3" t="s">
        <v>84</v>
      </c>
      <c r="M43" s="3" t="s">
        <v>1</v>
      </c>
      <c r="N43" s="3" t="s">
        <v>582</v>
      </c>
      <c r="O43" s="3" t="s">
        <v>583</v>
      </c>
      <c r="P43" s="3" t="s">
        <v>584</v>
      </c>
      <c r="Q43" s="3" t="s">
        <v>585</v>
      </c>
      <c r="R43" s="3" t="s">
        <v>586</v>
      </c>
      <c r="S43" s="3" t="s">
        <v>587</v>
      </c>
      <c r="T43" s="3" t="s">
        <v>588</v>
      </c>
      <c r="U43" s="3" t="s">
        <v>1</v>
      </c>
      <c r="V43" s="3" t="s">
        <v>506</v>
      </c>
    </row>
    <row r="44" spans="1:22" s="5" customFormat="1">
      <c r="A44" s="5" t="s">
        <v>26</v>
      </c>
      <c r="B44" s="5" t="s">
        <v>589</v>
      </c>
      <c r="C44" s="5" t="s">
        <v>590</v>
      </c>
      <c r="D44" s="5" t="s">
        <v>862</v>
      </c>
      <c r="E44" s="5" t="s">
        <v>873</v>
      </c>
      <c r="F44" s="3" t="s">
        <v>591</v>
      </c>
      <c r="G44" s="3" t="s">
        <v>592</v>
      </c>
      <c r="H44" s="5" t="s">
        <v>593</v>
      </c>
      <c r="I44" s="3" t="s">
        <v>594</v>
      </c>
      <c r="J44" s="5" t="s">
        <v>595</v>
      </c>
      <c r="K44" s="5" t="s">
        <v>377</v>
      </c>
      <c r="L44" s="5" t="s">
        <v>596</v>
      </c>
      <c r="M44" s="5" t="s">
        <v>0</v>
      </c>
      <c r="N44" s="3" t="s">
        <v>597</v>
      </c>
      <c r="O44" s="3" t="s">
        <v>598</v>
      </c>
      <c r="P44" s="5" t="s">
        <v>599</v>
      </c>
      <c r="Q44" s="3" t="s">
        <v>600</v>
      </c>
      <c r="R44" s="5" t="s">
        <v>601</v>
      </c>
      <c r="S44" s="5" t="s">
        <v>301</v>
      </c>
      <c r="T44" s="5" t="s">
        <v>300</v>
      </c>
      <c r="U44" s="5" t="s">
        <v>1</v>
      </c>
      <c r="V44" s="5" t="s">
        <v>29</v>
      </c>
    </row>
    <row r="45" spans="1:22" s="3" customFormat="1">
      <c r="A45" s="3" t="s">
        <v>26</v>
      </c>
      <c r="B45" s="3" t="s">
        <v>602</v>
      </c>
      <c r="C45" s="3" t="s">
        <v>603</v>
      </c>
      <c r="D45" s="3" t="s">
        <v>3</v>
      </c>
      <c r="E45" s="7" t="s">
        <v>869</v>
      </c>
      <c r="F45" s="3" t="s">
        <v>604</v>
      </c>
      <c r="G45" s="3" t="s">
        <v>605</v>
      </c>
      <c r="H45" s="3" t="s">
        <v>606</v>
      </c>
      <c r="I45" s="3" t="s">
        <v>607</v>
      </c>
      <c r="J45" s="3" t="s">
        <v>608</v>
      </c>
      <c r="K45" s="3" t="s">
        <v>386</v>
      </c>
      <c r="L45" s="3" t="s">
        <v>609</v>
      </c>
      <c r="M45" s="3" t="s">
        <v>3</v>
      </c>
      <c r="N45" s="3" t="s">
        <v>610</v>
      </c>
      <c r="O45" s="3" t="s">
        <v>611</v>
      </c>
      <c r="P45" s="3" t="s">
        <v>612</v>
      </c>
      <c r="Q45" s="3" t="s">
        <v>613</v>
      </c>
      <c r="R45" s="3" t="s">
        <v>614</v>
      </c>
      <c r="S45" s="3" t="s">
        <v>324</v>
      </c>
      <c r="T45" s="3" t="s">
        <v>386</v>
      </c>
      <c r="U45" s="3" t="s">
        <v>0</v>
      </c>
      <c r="V45" s="3" t="s">
        <v>313</v>
      </c>
    </row>
    <row r="46" spans="1:22" s="4" customFormat="1">
      <c r="A46" s="4" t="s">
        <v>26</v>
      </c>
      <c r="B46" s="4" t="s">
        <v>615</v>
      </c>
      <c r="C46" s="4" t="s">
        <v>616</v>
      </c>
      <c r="D46" s="4" t="s">
        <v>864</v>
      </c>
      <c r="F46" t="s">
        <v>617</v>
      </c>
      <c r="G46" t="s">
        <v>618</v>
      </c>
      <c r="H46" s="4" t="s">
        <v>619</v>
      </c>
      <c r="I46" t="s">
        <v>620</v>
      </c>
      <c r="J46" s="4" t="s">
        <v>621</v>
      </c>
      <c r="K46" s="4" t="s">
        <v>35</v>
      </c>
      <c r="L46" s="4" t="s">
        <v>622</v>
      </c>
      <c r="M46" s="4" t="s">
        <v>1</v>
      </c>
      <c r="N46" t="s">
        <v>623</v>
      </c>
      <c r="O46" t="s">
        <v>624</v>
      </c>
      <c r="P46" s="4" t="s">
        <v>625</v>
      </c>
      <c r="Q46" t="s">
        <v>626</v>
      </c>
      <c r="R46" s="4" t="s">
        <v>627</v>
      </c>
      <c r="S46" s="4" t="s">
        <v>281</v>
      </c>
      <c r="T46" s="4" t="s">
        <v>83</v>
      </c>
      <c r="U46" s="4" t="s">
        <v>0</v>
      </c>
      <c r="V46" s="4" t="s">
        <v>29</v>
      </c>
    </row>
    <row r="47" spans="1:22" s="2" customFormat="1">
      <c r="A47" s="2" t="s">
        <v>26</v>
      </c>
      <c r="B47" s="2" t="s">
        <v>628</v>
      </c>
      <c r="C47" s="2" t="s">
        <v>629</v>
      </c>
      <c r="D47" s="2" t="s">
        <v>862</v>
      </c>
      <c r="E47" s="2" t="s">
        <v>869</v>
      </c>
      <c r="M47" s="2" t="s">
        <v>3</v>
      </c>
      <c r="N47" s="2" t="s">
        <v>630</v>
      </c>
      <c r="O47" s="2" t="s">
        <v>631</v>
      </c>
      <c r="P47" s="2" t="s">
        <v>80</v>
      </c>
      <c r="Q47" s="2" t="s">
        <v>632</v>
      </c>
      <c r="R47" s="2" t="s">
        <v>633</v>
      </c>
      <c r="S47" s="2" t="s">
        <v>59</v>
      </c>
      <c r="T47" s="2" t="s">
        <v>430</v>
      </c>
      <c r="U47" s="2" t="s">
        <v>0</v>
      </c>
      <c r="V47" s="2" t="s">
        <v>313</v>
      </c>
    </row>
    <row r="48" spans="1:22" s="4" customFormat="1">
      <c r="A48" s="4" t="s">
        <v>26</v>
      </c>
      <c r="B48" s="4" t="s">
        <v>628</v>
      </c>
      <c r="C48" s="4" t="s">
        <v>634</v>
      </c>
      <c r="D48" s="4" t="s">
        <v>864</v>
      </c>
      <c r="F48" s="3" t="s">
        <v>635</v>
      </c>
      <c r="G48" s="3" t="s">
        <v>636</v>
      </c>
      <c r="H48" s="4" t="s">
        <v>637</v>
      </c>
      <c r="I48" s="3" t="s">
        <v>638</v>
      </c>
      <c r="J48" s="4" t="s">
        <v>639</v>
      </c>
      <c r="K48" s="4" t="s">
        <v>324</v>
      </c>
      <c r="L48" s="4" t="s">
        <v>386</v>
      </c>
      <c r="M48" s="4" t="s">
        <v>0</v>
      </c>
      <c r="N48" s="3" t="s">
        <v>640</v>
      </c>
      <c r="O48" s="3" t="s">
        <v>641</v>
      </c>
      <c r="P48" s="4" t="s">
        <v>642</v>
      </c>
      <c r="Q48" s="3" t="s">
        <v>643</v>
      </c>
      <c r="R48" s="4" t="s">
        <v>644</v>
      </c>
      <c r="S48" s="4" t="s">
        <v>83</v>
      </c>
      <c r="T48" s="4" t="s">
        <v>645</v>
      </c>
      <c r="U48" s="4" t="s">
        <v>1</v>
      </c>
      <c r="V48" s="4" t="s">
        <v>29</v>
      </c>
    </row>
    <row r="49" spans="1:22" s="3" customFormat="1">
      <c r="A49" s="3" t="s">
        <v>26</v>
      </c>
      <c r="B49" s="3" t="s">
        <v>646</v>
      </c>
      <c r="C49" s="3" t="s">
        <v>647</v>
      </c>
      <c r="D49" s="3" t="s">
        <v>862</v>
      </c>
      <c r="E49" s="7" t="s">
        <v>869</v>
      </c>
      <c r="F49" s="3" t="s">
        <v>648</v>
      </c>
      <c r="G49" s="3" t="s">
        <v>649</v>
      </c>
      <c r="H49" s="3" t="s">
        <v>650</v>
      </c>
      <c r="I49" s="3" t="s">
        <v>651</v>
      </c>
      <c r="J49" s="3" t="s">
        <v>652</v>
      </c>
      <c r="K49" s="3" t="s">
        <v>653</v>
      </c>
      <c r="L49" s="3" t="s">
        <v>653</v>
      </c>
      <c r="M49" s="3" t="s">
        <v>1</v>
      </c>
      <c r="N49" s="3" t="s">
        <v>654</v>
      </c>
      <c r="O49" s="3" t="s">
        <v>655</v>
      </c>
      <c r="P49" s="3" t="s">
        <v>656</v>
      </c>
      <c r="Q49" s="3" t="s">
        <v>657</v>
      </c>
      <c r="R49" s="3" t="s">
        <v>658</v>
      </c>
      <c r="S49" s="3" t="s">
        <v>659</v>
      </c>
      <c r="T49" s="3" t="s">
        <v>660</v>
      </c>
      <c r="U49" s="3" t="s">
        <v>1</v>
      </c>
      <c r="V49" s="3" t="s">
        <v>506</v>
      </c>
    </row>
    <row r="50" spans="1:22" s="3" customFormat="1">
      <c r="A50" s="3" t="s">
        <v>26</v>
      </c>
      <c r="B50" s="3" t="s">
        <v>661</v>
      </c>
      <c r="C50" s="3" t="s">
        <v>662</v>
      </c>
      <c r="D50" s="3" t="s">
        <v>862</v>
      </c>
      <c r="E50" s="7" t="s">
        <v>869</v>
      </c>
      <c r="F50" s="3" t="s">
        <v>663</v>
      </c>
      <c r="G50" s="3" t="s">
        <v>664</v>
      </c>
      <c r="H50" s="3" t="s">
        <v>665</v>
      </c>
      <c r="I50" s="3" t="s">
        <v>664</v>
      </c>
      <c r="J50" s="3" t="s">
        <v>665</v>
      </c>
      <c r="K50" s="3" t="s">
        <v>666</v>
      </c>
      <c r="L50" s="3" t="s">
        <v>666</v>
      </c>
      <c r="M50" s="3" t="s">
        <v>2</v>
      </c>
      <c r="N50" s="3" t="s">
        <v>667</v>
      </c>
      <c r="O50" s="3" t="s">
        <v>668</v>
      </c>
      <c r="P50" s="3" t="s">
        <v>669</v>
      </c>
      <c r="Q50" s="3" t="s">
        <v>668</v>
      </c>
      <c r="R50" s="3" t="s">
        <v>669</v>
      </c>
      <c r="S50" s="3" t="s">
        <v>84</v>
      </c>
      <c r="T50" s="3" t="s">
        <v>84</v>
      </c>
      <c r="U50" s="3" t="s">
        <v>2</v>
      </c>
      <c r="V50" s="3" t="s">
        <v>445</v>
      </c>
    </row>
    <row r="51" spans="1:22" s="3" customFormat="1">
      <c r="A51" s="3" t="s">
        <v>26</v>
      </c>
      <c r="B51" s="3" t="s">
        <v>661</v>
      </c>
      <c r="C51" s="3" t="s">
        <v>670</v>
      </c>
      <c r="D51" s="3" t="s">
        <v>3</v>
      </c>
      <c r="E51" s="7" t="s">
        <v>869</v>
      </c>
      <c r="F51" s="3" t="s">
        <v>671</v>
      </c>
      <c r="G51" s="3" t="s">
        <v>672</v>
      </c>
      <c r="H51" s="3" t="s">
        <v>673</v>
      </c>
      <c r="I51" s="3" t="s">
        <v>674</v>
      </c>
      <c r="J51" s="3" t="s">
        <v>675</v>
      </c>
      <c r="K51" s="3" t="s">
        <v>676</v>
      </c>
      <c r="L51" s="3" t="s">
        <v>677</v>
      </c>
      <c r="M51" s="3" t="s">
        <v>3</v>
      </c>
      <c r="N51" s="3" t="s">
        <v>678</v>
      </c>
      <c r="O51" s="3" t="s">
        <v>679</v>
      </c>
      <c r="P51" s="3" t="s">
        <v>680</v>
      </c>
      <c r="Q51" s="3" t="s">
        <v>681</v>
      </c>
      <c r="R51" s="3" t="s">
        <v>682</v>
      </c>
      <c r="S51" s="3" t="s">
        <v>683</v>
      </c>
      <c r="T51" s="3" t="s">
        <v>294</v>
      </c>
      <c r="U51" s="3" t="s">
        <v>0</v>
      </c>
      <c r="V51" s="3" t="s">
        <v>313</v>
      </c>
    </row>
    <row r="52" spans="1:22" s="3" customFormat="1">
      <c r="A52" s="3" t="s">
        <v>26</v>
      </c>
      <c r="B52" s="3" t="s">
        <v>684</v>
      </c>
      <c r="C52" s="3" t="s">
        <v>685</v>
      </c>
      <c r="D52" s="3" t="s">
        <v>3</v>
      </c>
      <c r="E52" s="7" t="s">
        <v>869</v>
      </c>
      <c r="F52" s="3" t="s">
        <v>687</v>
      </c>
      <c r="G52" s="3" t="s">
        <v>688</v>
      </c>
      <c r="H52" s="3" t="s">
        <v>689</v>
      </c>
      <c r="I52" s="3" t="s">
        <v>690</v>
      </c>
      <c r="J52" s="3" t="s">
        <v>491</v>
      </c>
      <c r="K52" s="3" t="s">
        <v>281</v>
      </c>
      <c r="L52" s="3" t="s">
        <v>324</v>
      </c>
      <c r="M52" s="3" t="s">
        <v>0</v>
      </c>
      <c r="N52" s="3" t="s">
        <v>691</v>
      </c>
      <c r="O52" s="3" t="s">
        <v>692</v>
      </c>
      <c r="P52" s="3" t="s">
        <v>693</v>
      </c>
      <c r="Q52" s="3" t="s">
        <v>694</v>
      </c>
      <c r="R52" s="3" t="s">
        <v>695</v>
      </c>
      <c r="S52" s="3" t="s">
        <v>696</v>
      </c>
      <c r="T52" s="3" t="s">
        <v>696</v>
      </c>
      <c r="U52" s="3" t="s">
        <v>3</v>
      </c>
      <c r="V52" s="3" t="s">
        <v>686</v>
      </c>
    </row>
    <row r="53" spans="1:22" s="3" customFormat="1">
      <c r="A53" s="3" t="s">
        <v>26</v>
      </c>
      <c r="B53" s="3" t="s">
        <v>697</v>
      </c>
      <c r="C53" s="3" t="s">
        <v>698</v>
      </c>
      <c r="D53" s="3" t="s">
        <v>862</v>
      </c>
      <c r="E53" s="7" t="s">
        <v>869</v>
      </c>
      <c r="F53" s="3" t="s">
        <v>699</v>
      </c>
      <c r="G53" s="3" t="s">
        <v>700</v>
      </c>
      <c r="H53" s="3" t="s">
        <v>701</v>
      </c>
      <c r="I53" s="3" t="s">
        <v>702</v>
      </c>
      <c r="J53" s="3" t="s">
        <v>703</v>
      </c>
      <c r="K53" s="3" t="s">
        <v>58</v>
      </c>
      <c r="L53" s="3" t="s">
        <v>59</v>
      </c>
      <c r="M53" s="3" t="s">
        <v>1</v>
      </c>
      <c r="N53" s="3" t="s">
        <v>704</v>
      </c>
      <c r="O53" s="3" t="s">
        <v>705</v>
      </c>
      <c r="P53" s="3" t="s">
        <v>706</v>
      </c>
      <c r="Q53" s="3" t="s">
        <v>707</v>
      </c>
      <c r="R53" s="3" t="s">
        <v>708</v>
      </c>
      <c r="S53" s="3" t="s">
        <v>43</v>
      </c>
      <c r="T53" s="3" t="s">
        <v>52</v>
      </c>
      <c r="U53" s="3" t="s">
        <v>0</v>
      </c>
      <c r="V53" s="3" t="s">
        <v>29</v>
      </c>
    </row>
    <row r="54" spans="1:22" s="3" customFormat="1">
      <c r="A54" s="3" t="s">
        <v>710</v>
      </c>
      <c r="B54" s="3" t="s">
        <v>711</v>
      </c>
      <c r="C54" s="3" t="s">
        <v>712</v>
      </c>
      <c r="D54" s="3" t="s">
        <v>0</v>
      </c>
      <c r="F54" s="3" t="s">
        <v>709</v>
      </c>
      <c r="G54" s="3" t="s">
        <v>713</v>
      </c>
      <c r="H54" s="3" t="s">
        <v>714</v>
      </c>
      <c r="I54" s="3" t="s">
        <v>715</v>
      </c>
      <c r="J54" s="3" t="s">
        <v>716</v>
      </c>
      <c r="K54" s="3" t="s">
        <v>205</v>
      </c>
      <c r="L54" s="3" t="s">
        <v>43</v>
      </c>
      <c r="M54" s="3" t="s">
        <v>0</v>
      </c>
      <c r="N54" s="3" t="s">
        <v>717</v>
      </c>
      <c r="O54" s="3" t="s">
        <v>718</v>
      </c>
      <c r="P54" s="3" t="s">
        <v>719</v>
      </c>
      <c r="Q54" s="3" t="s">
        <v>720</v>
      </c>
      <c r="R54" s="3" t="s">
        <v>721</v>
      </c>
      <c r="S54" s="3" t="s">
        <v>477</v>
      </c>
      <c r="T54" s="3" t="s">
        <v>377</v>
      </c>
      <c r="U54" s="3" t="s">
        <v>0</v>
      </c>
      <c r="V54" s="3" t="s">
        <v>108</v>
      </c>
    </row>
    <row r="55" spans="1:22" s="3" customFormat="1">
      <c r="A55" s="3" t="s">
        <v>710</v>
      </c>
      <c r="B55" s="3" t="s">
        <v>722</v>
      </c>
      <c r="C55" s="3" t="s">
        <v>723</v>
      </c>
      <c r="D55" s="3" t="s">
        <v>3</v>
      </c>
      <c r="E55" s="7" t="s">
        <v>869</v>
      </c>
      <c r="F55" s="3" t="s">
        <v>724</v>
      </c>
      <c r="G55" s="3" t="s">
        <v>725</v>
      </c>
      <c r="H55" s="3" t="s">
        <v>726</v>
      </c>
      <c r="I55" s="3" t="s">
        <v>727</v>
      </c>
      <c r="J55" s="3" t="s">
        <v>728</v>
      </c>
      <c r="K55" s="3" t="s">
        <v>115</v>
      </c>
      <c r="L55" s="3" t="s">
        <v>371</v>
      </c>
      <c r="M55" s="3" t="s">
        <v>1</v>
      </c>
      <c r="N55" s="3" t="s">
        <v>729</v>
      </c>
      <c r="O55" s="3" t="s">
        <v>730</v>
      </c>
      <c r="P55" s="3" t="s">
        <v>731</v>
      </c>
      <c r="Q55" s="3" t="s">
        <v>732</v>
      </c>
      <c r="R55" s="3" t="s">
        <v>733</v>
      </c>
      <c r="S55" s="3" t="s">
        <v>58</v>
      </c>
      <c r="T55" s="3" t="s">
        <v>58</v>
      </c>
      <c r="U55" s="3" t="s">
        <v>3</v>
      </c>
      <c r="V55" s="3" t="s">
        <v>274</v>
      </c>
    </row>
    <row r="56" spans="1:22" s="4" customFormat="1">
      <c r="A56" s="4" t="s">
        <v>710</v>
      </c>
      <c r="B56" s="4" t="s">
        <v>734</v>
      </c>
      <c r="C56" s="4" t="s">
        <v>735</v>
      </c>
      <c r="D56" s="4" t="s">
        <v>864</v>
      </c>
      <c r="F56" s="3" t="s">
        <v>736</v>
      </c>
      <c r="G56" s="3" t="s">
        <v>737</v>
      </c>
      <c r="H56" s="4" t="s">
        <v>738</v>
      </c>
      <c r="I56" s="3" t="s">
        <v>739</v>
      </c>
      <c r="J56" s="4" t="s">
        <v>740</v>
      </c>
      <c r="K56" s="4" t="s">
        <v>741</v>
      </c>
      <c r="L56" s="4" t="s">
        <v>377</v>
      </c>
      <c r="M56" s="4" t="s">
        <v>0</v>
      </c>
      <c r="N56" s="3" t="s">
        <v>742</v>
      </c>
      <c r="O56" s="3" t="s">
        <v>743</v>
      </c>
      <c r="P56" s="4" t="s">
        <v>744</v>
      </c>
      <c r="Q56" s="3" t="s">
        <v>745</v>
      </c>
      <c r="R56" s="4" t="s">
        <v>746</v>
      </c>
      <c r="S56" s="4" t="s">
        <v>747</v>
      </c>
      <c r="T56" s="4" t="s">
        <v>51</v>
      </c>
      <c r="U56" s="4" t="s">
        <v>0</v>
      </c>
      <c r="V56" s="4" t="s">
        <v>108</v>
      </c>
    </row>
    <row r="57" spans="1:22" s="3" customFormat="1">
      <c r="A57" s="3" t="s">
        <v>710</v>
      </c>
      <c r="B57" s="3" t="s">
        <v>748</v>
      </c>
      <c r="C57" s="3" t="s">
        <v>749</v>
      </c>
      <c r="D57" s="3" t="s">
        <v>863</v>
      </c>
      <c r="F57" s="3" t="s">
        <v>750</v>
      </c>
      <c r="G57" s="3" t="s">
        <v>751</v>
      </c>
      <c r="H57" s="3" t="s">
        <v>752</v>
      </c>
      <c r="I57" s="3" t="s">
        <v>753</v>
      </c>
      <c r="J57" s="3" t="s">
        <v>754</v>
      </c>
      <c r="K57" s="3" t="s">
        <v>755</v>
      </c>
      <c r="L57" s="3" t="s">
        <v>756</v>
      </c>
      <c r="M57" s="3" t="s">
        <v>0</v>
      </c>
      <c r="N57" s="3" t="s">
        <v>750</v>
      </c>
      <c r="O57" s="3" t="s">
        <v>757</v>
      </c>
      <c r="P57" s="3" t="s">
        <v>758</v>
      </c>
      <c r="Q57" s="3" t="s">
        <v>759</v>
      </c>
      <c r="R57" s="3" t="s">
        <v>760</v>
      </c>
      <c r="S57" s="3" t="s">
        <v>761</v>
      </c>
      <c r="T57" s="3" t="s">
        <v>683</v>
      </c>
      <c r="U57" s="3" t="s">
        <v>0</v>
      </c>
      <c r="V57" s="3" t="s">
        <v>108</v>
      </c>
    </row>
    <row r="58" spans="1:22" s="3" customFormat="1">
      <c r="A58" s="3" t="s">
        <v>762</v>
      </c>
      <c r="B58" s="3" t="s">
        <v>763</v>
      </c>
      <c r="C58" s="3" t="s">
        <v>764</v>
      </c>
      <c r="D58" s="3" t="s">
        <v>864</v>
      </c>
      <c r="F58" s="3" t="s">
        <v>765</v>
      </c>
      <c r="G58" s="3" t="s">
        <v>766</v>
      </c>
      <c r="H58" s="3" t="s">
        <v>767</v>
      </c>
      <c r="I58" s="3" t="s">
        <v>768</v>
      </c>
      <c r="J58" s="3" t="s">
        <v>769</v>
      </c>
      <c r="K58" s="3" t="s">
        <v>430</v>
      </c>
      <c r="L58" s="3" t="s">
        <v>622</v>
      </c>
      <c r="M58" s="3" t="s">
        <v>1</v>
      </c>
      <c r="N58" s="3" t="s">
        <v>770</v>
      </c>
      <c r="O58" s="3" t="s">
        <v>771</v>
      </c>
      <c r="P58" s="3" t="s">
        <v>772</v>
      </c>
      <c r="Q58" s="3" t="s">
        <v>773</v>
      </c>
      <c r="R58" s="3" t="s">
        <v>774</v>
      </c>
      <c r="S58" s="3" t="s">
        <v>324</v>
      </c>
      <c r="T58" s="3" t="s">
        <v>430</v>
      </c>
      <c r="U58" s="3" t="s">
        <v>0</v>
      </c>
      <c r="V58" s="3" t="s">
        <v>29</v>
      </c>
    </row>
    <row r="59" spans="1:22" s="3" customFormat="1">
      <c r="A59" s="3" t="s">
        <v>762</v>
      </c>
      <c r="B59" s="3" t="s">
        <v>762</v>
      </c>
      <c r="C59" s="3" t="s">
        <v>775</v>
      </c>
      <c r="D59" s="3" t="s">
        <v>864</v>
      </c>
      <c r="F59" s="3" t="s">
        <v>776</v>
      </c>
      <c r="G59" s="3" t="s">
        <v>777</v>
      </c>
      <c r="H59" s="3" t="s">
        <v>778</v>
      </c>
      <c r="I59" s="3" t="s">
        <v>779</v>
      </c>
      <c r="J59" s="3" t="s">
        <v>780</v>
      </c>
      <c r="K59" s="3" t="s">
        <v>36</v>
      </c>
      <c r="L59" s="3" t="s">
        <v>83</v>
      </c>
      <c r="M59" s="3" t="s">
        <v>0</v>
      </c>
      <c r="N59" s="3" t="s">
        <v>781</v>
      </c>
      <c r="O59" s="3" t="s">
        <v>782</v>
      </c>
      <c r="P59" s="3" t="s">
        <v>783</v>
      </c>
      <c r="Q59" s="3" t="s">
        <v>784</v>
      </c>
      <c r="R59" s="3" t="s">
        <v>785</v>
      </c>
      <c r="S59" s="3" t="s">
        <v>430</v>
      </c>
      <c r="T59" s="3" t="s">
        <v>596</v>
      </c>
      <c r="U59" s="3" t="s">
        <v>1</v>
      </c>
      <c r="V59" s="3" t="s">
        <v>29</v>
      </c>
    </row>
    <row r="60" spans="1:22" s="3" customFormat="1">
      <c r="A60" s="3" t="s">
        <v>762</v>
      </c>
      <c r="B60" s="3" t="s">
        <v>762</v>
      </c>
      <c r="C60" s="3" t="s">
        <v>786</v>
      </c>
      <c r="D60" s="3" t="s">
        <v>3</v>
      </c>
      <c r="E60" s="7" t="s">
        <v>872</v>
      </c>
      <c r="F60" s="3" t="s">
        <v>787</v>
      </c>
      <c r="G60" s="3" t="s">
        <v>788</v>
      </c>
      <c r="H60" s="3" t="s">
        <v>789</v>
      </c>
      <c r="I60" s="3" t="s">
        <v>790</v>
      </c>
      <c r="J60" s="3" t="s">
        <v>791</v>
      </c>
      <c r="K60" s="3" t="s">
        <v>52</v>
      </c>
      <c r="L60" s="3" t="s">
        <v>449</v>
      </c>
      <c r="M60" s="3" t="s">
        <v>0</v>
      </c>
      <c r="N60" s="3" t="s">
        <v>792</v>
      </c>
      <c r="O60" s="3" t="s">
        <v>793</v>
      </c>
      <c r="P60" s="3" t="s">
        <v>794</v>
      </c>
      <c r="Q60" s="3" t="s">
        <v>795</v>
      </c>
      <c r="R60" s="3" t="s">
        <v>796</v>
      </c>
      <c r="S60" s="3" t="s">
        <v>741</v>
      </c>
      <c r="T60" s="3" t="s">
        <v>449</v>
      </c>
      <c r="U60" s="3" t="s">
        <v>0</v>
      </c>
      <c r="V60" s="3" t="s">
        <v>169</v>
      </c>
    </row>
    <row r="61" spans="1:22" s="2" customFormat="1">
      <c r="A61" s="2" t="s">
        <v>797</v>
      </c>
      <c r="B61" s="2" t="s">
        <v>798</v>
      </c>
      <c r="C61" s="2" t="s">
        <v>799</v>
      </c>
      <c r="D61" s="2" t="s">
        <v>862</v>
      </c>
      <c r="E61" s="2" t="s">
        <v>869</v>
      </c>
      <c r="F61" s="2" t="s">
        <v>800</v>
      </c>
      <c r="G61" s="2" t="s">
        <v>801</v>
      </c>
      <c r="H61" s="2" t="s">
        <v>802</v>
      </c>
      <c r="I61" s="2" t="s">
        <v>803</v>
      </c>
      <c r="J61" s="2" t="s">
        <v>804</v>
      </c>
      <c r="K61" s="2" t="s">
        <v>52</v>
      </c>
      <c r="L61" s="2" t="s">
        <v>377</v>
      </c>
      <c r="M61" s="2" t="s">
        <v>1</v>
      </c>
      <c r="N61" s="2" t="s">
        <v>805</v>
      </c>
      <c r="O61" s="2" t="s">
        <v>806</v>
      </c>
      <c r="P61" s="2" t="s">
        <v>807</v>
      </c>
      <c r="Q61" s="2" t="s">
        <v>808</v>
      </c>
      <c r="R61" s="2" t="s">
        <v>809</v>
      </c>
      <c r="S61" s="2" t="s">
        <v>52</v>
      </c>
      <c r="T61" s="2" t="s">
        <v>83</v>
      </c>
      <c r="U61" s="2" t="s">
        <v>0</v>
      </c>
      <c r="V61" s="2" t="s">
        <v>29</v>
      </c>
    </row>
    <row r="62" spans="1:22" s="4" customFormat="1">
      <c r="A62" s="4" t="s">
        <v>797</v>
      </c>
      <c r="B62" s="4" t="s">
        <v>797</v>
      </c>
      <c r="C62" s="4" t="s">
        <v>810</v>
      </c>
      <c r="D62" s="4" t="s">
        <v>864</v>
      </c>
      <c r="F62" s="3" t="s">
        <v>811</v>
      </c>
      <c r="G62" s="3" t="s">
        <v>812</v>
      </c>
      <c r="H62" s="4" t="s">
        <v>813</v>
      </c>
      <c r="I62" s="3" t="s">
        <v>814</v>
      </c>
      <c r="J62" s="4" t="s">
        <v>815</v>
      </c>
      <c r="K62" s="4" t="s">
        <v>167</v>
      </c>
      <c r="L62" s="4" t="s">
        <v>51</v>
      </c>
      <c r="M62" s="4" t="s">
        <v>0</v>
      </c>
      <c r="N62" s="3" t="s">
        <v>816</v>
      </c>
      <c r="O62" s="3" t="s">
        <v>817</v>
      </c>
      <c r="P62" s="4" t="s">
        <v>818</v>
      </c>
      <c r="Q62" s="3" t="s">
        <v>819</v>
      </c>
      <c r="R62" s="4" t="s">
        <v>820</v>
      </c>
      <c r="S62" s="4" t="s">
        <v>485</v>
      </c>
      <c r="T62" s="4" t="s">
        <v>43</v>
      </c>
      <c r="U62" s="4" t="s">
        <v>0</v>
      </c>
      <c r="V62" s="4" t="s">
        <v>108</v>
      </c>
    </row>
    <row r="63" spans="1:22" s="3" customFormat="1">
      <c r="A63" s="3" t="s">
        <v>797</v>
      </c>
      <c r="B63" s="3" t="s">
        <v>797</v>
      </c>
      <c r="C63" s="3" t="s">
        <v>821</v>
      </c>
      <c r="D63" s="3" t="s">
        <v>1</v>
      </c>
      <c r="F63" s="3" t="s">
        <v>822</v>
      </c>
      <c r="G63" s="3" t="s">
        <v>823</v>
      </c>
      <c r="H63" s="3" t="s">
        <v>824</v>
      </c>
      <c r="I63" s="3" t="s">
        <v>825</v>
      </c>
      <c r="J63" s="3" t="s">
        <v>826</v>
      </c>
      <c r="K63" s="3" t="s">
        <v>121</v>
      </c>
      <c r="L63" s="3" t="s">
        <v>59</v>
      </c>
      <c r="M63" s="3" t="s">
        <v>1</v>
      </c>
      <c r="N63" s="3" t="s">
        <v>827</v>
      </c>
      <c r="O63" s="3" t="s">
        <v>828</v>
      </c>
      <c r="P63" s="3" t="s">
        <v>829</v>
      </c>
      <c r="Q63" s="3" t="s">
        <v>830</v>
      </c>
      <c r="R63" s="3" t="s">
        <v>831</v>
      </c>
      <c r="S63" s="3" t="s">
        <v>51</v>
      </c>
      <c r="T63" s="3" t="s">
        <v>324</v>
      </c>
      <c r="U63" s="3" t="s">
        <v>0</v>
      </c>
      <c r="V63" s="3" t="s">
        <v>29</v>
      </c>
    </row>
    <row r="64" spans="1:22" s="3" customFormat="1">
      <c r="A64" s="3" t="s">
        <v>797</v>
      </c>
      <c r="B64" s="3" t="s">
        <v>797</v>
      </c>
      <c r="C64" s="3" t="s">
        <v>832</v>
      </c>
      <c r="D64" s="3" t="s">
        <v>3</v>
      </c>
      <c r="E64" s="7" t="s">
        <v>872</v>
      </c>
      <c r="F64" s="3" t="s">
        <v>833</v>
      </c>
      <c r="G64" s="3" t="s">
        <v>834</v>
      </c>
      <c r="H64" s="3" t="s">
        <v>835</v>
      </c>
      <c r="I64" s="3" t="s">
        <v>836</v>
      </c>
      <c r="J64" s="3" t="s">
        <v>837</v>
      </c>
      <c r="K64" s="3" t="s">
        <v>159</v>
      </c>
      <c r="L64" s="3" t="s">
        <v>205</v>
      </c>
      <c r="M64" s="3" t="s">
        <v>1</v>
      </c>
      <c r="N64" s="3" t="s">
        <v>838</v>
      </c>
      <c r="O64" s="3" t="s">
        <v>839</v>
      </c>
      <c r="P64" s="3" t="s">
        <v>840</v>
      </c>
      <c r="Q64" s="3" t="s">
        <v>841</v>
      </c>
      <c r="R64" s="3" t="s">
        <v>842</v>
      </c>
      <c r="S64" s="3" t="s">
        <v>843</v>
      </c>
      <c r="T64" s="3" t="s">
        <v>424</v>
      </c>
      <c r="U64" s="3" t="s">
        <v>3</v>
      </c>
      <c r="V64" s="3" t="s">
        <v>169</v>
      </c>
    </row>
    <row r="65" spans="1:22" s="3" customFormat="1">
      <c r="A65" s="3" t="s">
        <v>844</v>
      </c>
      <c r="B65" s="3" t="s">
        <v>845</v>
      </c>
      <c r="C65" s="3" t="s">
        <v>846</v>
      </c>
      <c r="D65" s="3" t="s">
        <v>3</v>
      </c>
      <c r="E65" s="7" t="s">
        <v>872</v>
      </c>
      <c r="F65" s="3" t="s">
        <v>847</v>
      </c>
      <c r="G65" s="3" t="s">
        <v>848</v>
      </c>
      <c r="H65" s="3" t="s">
        <v>849</v>
      </c>
      <c r="I65" s="3" t="s">
        <v>848</v>
      </c>
      <c r="J65" s="3" t="s">
        <v>849</v>
      </c>
      <c r="K65" s="3" t="s">
        <v>386</v>
      </c>
      <c r="L65" s="3" t="s">
        <v>386</v>
      </c>
      <c r="M65" s="3" t="s">
        <v>2</v>
      </c>
      <c r="N65" s="3" t="s">
        <v>850</v>
      </c>
      <c r="O65" s="3" t="s">
        <v>851</v>
      </c>
      <c r="P65" s="3" t="s">
        <v>852</v>
      </c>
      <c r="Q65" s="3" t="s">
        <v>851</v>
      </c>
      <c r="R65" s="3" t="s">
        <v>852</v>
      </c>
      <c r="S65" s="3" t="s">
        <v>853</v>
      </c>
      <c r="T65" s="3" t="s">
        <v>853</v>
      </c>
      <c r="U65" s="3" t="s">
        <v>2</v>
      </c>
      <c r="V65" s="3" t="s">
        <v>169</v>
      </c>
    </row>
    <row r="66" spans="1:22" s="3" customFormat="1">
      <c r="A66" s="3" t="s">
        <v>844</v>
      </c>
      <c r="B66" s="3" t="s">
        <v>854</v>
      </c>
      <c r="C66" s="3" t="s">
        <v>855</v>
      </c>
      <c r="D66" s="3" t="s">
        <v>3</v>
      </c>
      <c r="E66" s="7" t="s">
        <v>869</v>
      </c>
      <c r="M66" s="3" t="s">
        <v>3</v>
      </c>
      <c r="N66" s="3" t="s">
        <v>856</v>
      </c>
      <c r="O66" s="3" t="s">
        <v>857</v>
      </c>
      <c r="P66" s="3" t="s">
        <v>858</v>
      </c>
      <c r="Q66" s="3" t="s">
        <v>859</v>
      </c>
      <c r="R66" s="3" t="s">
        <v>860</v>
      </c>
      <c r="S66" s="3" t="s">
        <v>861</v>
      </c>
      <c r="T66" s="3" t="s">
        <v>281</v>
      </c>
      <c r="U66" s="3" t="s">
        <v>0</v>
      </c>
      <c r="V66" s="3" t="s">
        <v>313</v>
      </c>
    </row>
    <row r="68" spans="1:22">
      <c r="H68" t="s">
        <v>32</v>
      </c>
      <c r="I68" t="s">
        <v>33</v>
      </c>
      <c r="J68" t="s">
        <v>34</v>
      </c>
      <c r="K68" t="s">
        <v>35</v>
      </c>
      <c r="L68" t="s">
        <v>36</v>
      </c>
    </row>
    <row r="69" spans="1:22">
      <c r="H69" t="s">
        <v>48</v>
      </c>
      <c r="I69" t="s">
        <v>49</v>
      </c>
      <c r="J69" t="s">
        <v>50</v>
      </c>
      <c r="K69" t="s">
        <v>51</v>
      </c>
      <c r="L69" t="s">
        <v>52</v>
      </c>
    </row>
    <row r="70" spans="1:22">
      <c r="H70" t="s">
        <v>65</v>
      </c>
      <c r="I70" t="s">
        <v>66</v>
      </c>
      <c r="J70" t="s">
        <v>67</v>
      </c>
      <c r="K70" t="s">
        <v>68</v>
      </c>
      <c r="L70" t="s">
        <v>68</v>
      </c>
    </row>
    <row r="71" spans="1:22">
      <c r="H71" t="s">
        <v>80</v>
      </c>
      <c r="I71" t="s">
        <v>81</v>
      </c>
      <c r="J71" t="s">
        <v>82</v>
      </c>
      <c r="K71" t="s">
        <v>83</v>
      </c>
      <c r="L71" t="s">
        <v>84</v>
      </c>
    </row>
    <row r="72" spans="1:22">
      <c r="H72" t="s">
        <v>95</v>
      </c>
      <c r="I72" t="s">
        <v>96</v>
      </c>
      <c r="J72" t="s">
        <v>97</v>
      </c>
      <c r="K72" t="s">
        <v>98</v>
      </c>
      <c r="L72" t="s">
        <v>84</v>
      </c>
    </row>
    <row r="73" spans="1:22">
      <c r="H73" t="s">
        <v>111</v>
      </c>
      <c r="I73" t="s">
        <v>112</v>
      </c>
      <c r="J73" t="s">
        <v>113</v>
      </c>
      <c r="K73" t="s">
        <v>114</v>
      </c>
      <c r="L73" t="s">
        <v>115</v>
      </c>
    </row>
    <row r="74" spans="1:22">
      <c r="H74" t="s">
        <v>126</v>
      </c>
      <c r="I74" t="s">
        <v>127</v>
      </c>
      <c r="J74" t="s">
        <v>128</v>
      </c>
      <c r="K74" t="s">
        <v>129</v>
      </c>
      <c r="L74" t="s">
        <v>130</v>
      </c>
    </row>
    <row r="75" spans="1:22">
      <c r="H75" t="s">
        <v>141</v>
      </c>
      <c r="I75" t="s">
        <v>142</v>
      </c>
      <c r="J75" t="s">
        <v>143</v>
      </c>
      <c r="K75" t="s">
        <v>144</v>
      </c>
      <c r="L75" t="s">
        <v>145</v>
      </c>
    </row>
    <row r="76" spans="1:22">
      <c r="H76" t="s">
        <v>156</v>
      </c>
      <c r="I76" t="s">
        <v>157</v>
      </c>
      <c r="J76" t="s">
        <v>158</v>
      </c>
      <c r="K76" t="s">
        <v>159</v>
      </c>
      <c r="L76" t="s">
        <v>160</v>
      </c>
    </row>
    <row r="77" spans="1:22">
      <c r="H77" t="s">
        <v>172</v>
      </c>
      <c r="I77" t="s">
        <v>173</v>
      </c>
      <c r="J77" t="s">
        <v>174</v>
      </c>
      <c r="K77" t="s">
        <v>175</v>
      </c>
      <c r="L77" t="s">
        <v>176</v>
      </c>
    </row>
    <row r="78" spans="1:22">
      <c r="H78" t="s">
        <v>187</v>
      </c>
      <c r="I78" t="s">
        <v>188</v>
      </c>
      <c r="J78" t="s">
        <v>189</v>
      </c>
      <c r="K78" t="s">
        <v>190</v>
      </c>
      <c r="L78" t="s">
        <v>191</v>
      </c>
    </row>
    <row r="79" spans="1:22">
      <c r="H79" t="s">
        <v>202</v>
      </c>
      <c r="I79" t="s">
        <v>203</v>
      </c>
      <c r="J79" t="s">
        <v>204</v>
      </c>
      <c r="K79" t="s">
        <v>68</v>
      </c>
      <c r="L79" t="s">
        <v>205</v>
      </c>
    </row>
    <row r="80" spans="1:22">
      <c r="H80" t="s">
        <v>216</v>
      </c>
      <c r="I80" t="s">
        <v>217</v>
      </c>
      <c r="J80" t="s">
        <v>218</v>
      </c>
      <c r="K80" t="s">
        <v>219</v>
      </c>
      <c r="L80" t="s">
        <v>220</v>
      </c>
    </row>
    <row r="81" spans="8:12">
      <c r="H81" t="s">
        <v>231</v>
      </c>
      <c r="I81" t="s">
        <v>232</v>
      </c>
      <c r="J81" t="s">
        <v>233</v>
      </c>
      <c r="K81" t="s">
        <v>211</v>
      </c>
      <c r="L81" t="s">
        <v>234</v>
      </c>
    </row>
    <row r="82" spans="8:12">
      <c r="H82" t="s">
        <v>245</v>
      </c>
      <c r="I82" t="s">
        <v>246</v>
      </c>
      <c r="J82" t="s">
        <v>247</v>
      </c>
      <c r="K82" t="s">
        <v>248</v>
      </c>
      <c r="L82" t="s">
        <v>249</v>
      </c>
    </row>
    <row r="83" spans="8:12">
      <c r="H83" t="s">
        <v>260</v>
      </c>
      <c r="I83" t="s">
        <v>261</v>
      </c>
      <c r="J83" t="s">
        <v>262</v>
      </c>
      <c r="K83" t="s">
        <v>263</v>
      </c>
      <c r="L83" t="s">
        <v>264</v>
      </c>
    </row>
    <row r="84" spans="8:12">
      <c r="H84" t="s">
        <v>277</v>
      </c>
      <c r="I84" t="s">
        <v>278</v>
      </c>
      <c r="J84" t="s">
        <v>279</v>
      </c>
      <c r="K84" t="s">
        <v>280</v>
      </c>
      <c r="L84" t="s">
        <v>281</v>
      </c>
    </row>
    <row r="85" spans="8:12">
      <c r="H85" t="s">
        <v>291</v>
      </c>
      <c r="I85" t="s">
        <v>292</v>
      </c>
      <c r="J85" t="s">
        <v>293</v>
      </c>
      <c r="K85" t="s">
        <v>294</v>
      </c>
      <c r="L85" t="s">
        <v>294</v>
      </c>
    </row>
    <row r="86" spans="8:12">
      <c r="H86" t="s">
        <v>306</v>
      </c>
      <c r="I86" t="s">
        <v>305</v>
      </c>
      <c r="J86" t="s">
        <v>306</v>
      </c>
      <c r="K86" t="s">
        <v>307</v>
      </c>
      <c r="L86" t="s">
        <v>307</v>
      </c>
    </row>
    <row r="87" spans="8:12">
      <c r="H87" t="s">
        <v>316</v>
      </c>
      <c r="I87" t="s">
        <v>317</v>
      </c>
      <c r="J87" t="s">
        <v>318</v>
      </c>
      <c r="K87" t="s">
        <v>58</v>
      </c>
      <c r="L87" t="s">
        <v>58</v>
      </c>
    </row>
    <row r="88" spans="8:12">
      <c r="H88" t="s">
        <v>328</v>
      </c>
      <c r="I88" t="s">
        <v>329</v>
      </c>
      <c r="J88" t="s">
        <v>330</v>
      </c>
      <c r="K88" t="s">
        <v>167</v>
      </c>
      <c r="L88" t="s">
        <v>331</v>
      </c>
    </row>
    <row r="89" spans="8:12">
      <c r="H89" t="s">
        <v>343</v>
      </c>
      <c r="I89" t="s">
        <v>344</v>
      </c>
      <c r="J89" t="s">
        <v>345</v>
      </c>
      <c r="K89" t="s">
        <v>346</v>
      </c>
      <c r="L89" t="s">
        <v>36</v>
      </c>
    </row>
    <row r="90" spans="8:12">
      <c r="H90" t="s">
        <v>356</v>
      </c>
      <c r="I90" t="s">
        <v>357</v>
      </c>
      <c r="J90" t="s">
        <v>358</v>
      </c>
      <c r="K90" t="s">
        <v>43</v>
      </c>
      <c r="L90" t="s">
        <v>114</v>
      </c>
    </row>
    <row r="91" spans="8:12">
      <c r="H91" t="s">
        <v>368</v>
      </c>
      <c r="I91" t="s">
        <v>369</v>
      </c>
      <c r="J91" t="s">
        <v>370</v>
      </c>
      <c r="K91" t="s">
        <v>324</v>
      </c>
      <c r="L91" t="s">
        <v>371</v>
      </c>
    </row>
    <row r="92" spans="8:12">
      <c r="H92" t="s">
        <v>382</v>
      </c>
      <c r="I92" t="s">
        <v>383</v>
      </c>
      <c r="J92" t="s">
        <v>384</v>
      </c>
      <c r="K92" t="s">
        <v>385</v>
      </c>
      <c r="L92" t="s">
        <v>386</v>
      </c>
    </row>
    <row r="93" spans="8:12">
      <c r="H93" t="s">
        <v>395</v>
      </c>
      <c r="I93" t="s">
        <v>396</v>
      </c>
      <c r="J93" t="s">
        <v>397</v>
      </c>
      <c r="K93" t="s">
        <v>59</v>
      </c>
      <c r="L93" t="s">
        <v>371</v>
      </c>
    </row>
    <row r="94" spans="8:12">
      <c r="H94" t="s">
        <v>407</v>
      </c>
      <c r="I94" t="s">
        <v>408</v>
      </c>
      <c r="J94" t="s">
        <v>409</v>
      </c>
      <c r="K94" t="s">
        <v>410</v>
      </c>
      <c r="L94" t="s">
        <v>115</v>
      </c>
    </row>
    <row r="95" spans="8:12">
      <c r="H95" t="s">
        <v>421</v>
      </c>
      <c r="I95" t="s">
        <v>422</v>
      </c>
      <c r="J95" t="s">
        <v>423</v>
      </c>
      <c r="K95" t="s">
        <v>424</v>
      </c>
      <c r="L95" t="s">
        <v>84</v>
      </c>
    </row>
    <row r="96" spans="8:12">
      <c r="H96" t="s">
        <v>435</v>
      </c>
      <c r="I96" t="s">
        <v>436</v>
      </c>
      <c r="J96" t="s">
        <v>437</v>
      </c>
      <c r="K96" t="s">
        <v>430</v>
      </c>
      <c r="L96" t="s">
        <v>386</v>
      </c>
    </row>
    <row r="97" spans="8:12">
      <c r="H97" t="s">
        <v>448</v>
      </c>
      <c r="I97" t="s">
        <v>447</v>
      </c>
      <c r="J97" t="s">
        <v>448</v>
      </c>
      <c r="K97" t="s">
        <v>449</v>
      </c>
      <c r="L97" t="s">
        <v>449</v>
      </c>
    </row>
    <row r="98" spans="8:12">
      <c r="H98" t="s">
        <v>458</v>
      </c>
      <c r="I98" t="s">
        <v>459</v>
      </c>
      <c r="J98" t="s">
        <v>460</v>
      </c>
      <c r="K98" t="s">
        <v>83</v>
      </c>
      <c r="L98" t="s">
        <v>84</v>
      </c>
    </row>
    <row r="99" spans="8:12">
      <c r="H99" t="s">
        <v>376</v>
      </c>
      <c r="I99" t="s">
        <v>471</v>
      </c>
      <c r="J99" t="s">
        <v>472</v>
      </c>
      <c r="K99" t="s">
        <v>324</v>
      </c>
      <c r="L99" t="s">
        <v>430</v>
      </c>
    </row>
    <row r="100" spans="8:12">
      <c r="H100" t="s">
        <v>482</v>
      </c>
      <c r="I100" t="s">
        <v>483</v>
      </c>
      <c r="J100" t="s">
        <v>484</v>
      </c>
      <c r="K100" t="s">
        <v>485</v>
      </c>
      <c r="L100" t="s">
        <v>42</v>
      </c>
    </row>
    <row r="101" spans="8:12">
      <c r="H101" t="s">
        <v>496</v>
      </c>
      <c r="I101" t="s">
        <v>497</v>
      </c>
      <c r="J101" t="s">
        <v>498</v>
      </c>
      <c r="K101" t="s">
        <v>83</v>
      </c>
      <c r="L101" t="s">
        <v>83</v>
      </c>
    </row>
    <row r="102" spans="8:12">
      <c r="H102" t="s">
        <v>509</v>
      </c>
      <c r="I102" t="s">
        <v>510</v>
      </c>
      <c r="J102" t="s">
        <v>511</v>
      </c>
      <c r="K102" t="s">
        <v>59</v>
      </c>
      <c r="L102" t="s">
        <v>83</v>
      </c>
    </row>
    <row r="103" spans="8:12">
      <c r="H103" t="s">
        <v>521</v>
      </c>
      <c r="I103" t="s">
        <v>522</v>
      </c>
      <c r="J103" t="s">
        <v>523</v>
      </c>
      <c r="K103" t="s">
        <v>83</v>
      </c>
      <c r="L103" t="s">
        <v>386</v>
      </c>
    </row>
    <row r="104" spans="8:12">
      <c r="H104" t="s">
        <v>533</v>
      </c>
      <c r="I104" t="s">
        <v>532</v>
      </c>
      <c r="J104" t="s">
        <v>533</v>
      </c>
      <c r="K104" t="s">
        <v>59</v>
      </c>
      <c r="L104" t="s">
        <v>59</v>
      </c>
    </row>
    <row r="105" spans="8:12">
      <c r="H105" t="s">
        <v>541</v>
      </c>
      <c r="I105" t="s">
        <v>542</v>
      </c>
      <c r="J105" t="s">
        <v>543</v>
      </c>
      <c r="K105" t="s">
        <v>166</v>
      </c>
      <c r="L105" t="s">
        <v>241</v>
      </c>
    </row>
    <row r="106" spans="8:12">
      <c r="H106" t="s">
        <v>553</v>
      </c>
      <c r="I106" t="s">
        <v>554</v>
      </c>
      <c r="J106" t="s">
        <v>555</v>
      </c>
      <c r="K106" t="s">
        <v>83</v>
      </c>
      <c r="L106" t="s">
        <v>59</v>
      </c>
    </row>
    <row r="107" spans="8:12">
      <c r="H107" t="s">
        <v>565</v>
      </c>
      <c r="I107" t="s">
        <v>566</v>
      </c>
      <c r="J107" t="s">
        <v>567</v>
      </c>
      <c r="K107" t="s">
        <v>568</v>
      </c>
      <c r="L107" t="s">
        <v>568</v>
      </c>
    </row>
    <row r="108" spans="8:12">
      <c r="H108" t="s">
        <v>579</v>
      </c>
      <c r="I108" t="s">
        <v>580</v>
      </c>
      <c r="J108" t="s">
        <v>581</v>
      </c>
      <c r="K108" t="s">
        <v>35</v>
      </c>
      <c r="L108" t="s">
        <v>84</v>
      </c>
    </row>
    <row r="109" spans="8:12">
      <c r="H109" t="s">
        <v>593</v>
      </c>
      <c r="I109" t="s">
        <v>594</v>
      </c>
      <c r="J109" t="s">
        <v>595</v>
      </c>
      <c r="K109" t="s">
        <v>377</v>
      </c>
      <c r="L109" t="s">
        <v>596</v>
      </c>
    </row>
    <row r="110" spans="8:12">
      <c r="H110" t="s">
        <v>606</v>
      </c>
      <c r="I110" t="s">
        <v>607</v>
      </c>
      <c r="J110" t="s">
        <v>608</v>
      </c>
      <c r="K110" t="s">
        <v>386</v>
      </c>
      <c r="L110" t="s">
        <v>609</v>
      </c>
    </row>
    <row r="111" spans="8:12">
      <c r="H111" t="s">
        <v>619</v>
      </c>
      <c r="I111" t="s">
        <v>620</v>
      </c>
      <c r="J111" t="s">
        <v>621</v>
      </c>
      <c r="K111" t="s">
        <v>35</v>
      </c>
      <c r="L111" t="s">
        <v>622</v>
      </c>
    </row>
    <row r="112" spans="8:12">
      <c r="H112" t="s">
        <v>637</v>
      </c>
      <c r="I112" t="s">
        <v>638</v>
      </c>
      <c r="J112" t="s">
        <v>639</v>
      </c>
      <c r="K112" t="s">
        <v>324</v>
      </c>
      <c r="L112" t="s">
        <v>386</v>
      </c>
    </row>
    <row r="113" spans="8:12">
      <c r="H113" t="s">
        <v>650</v>
      </c>
      <c r="I113" t="s">
        <v>651</v>
      </c>
      <c r="J113" t="s">
        <v>652</v>
      </c>
      <c r="K113" t="s">
        <v>653</v>
      </c>
      <c r="L113" t="s">
        <v>653</v>
      </c>
    </row>
    <row r="114" spans="8:12">
      <c r="H114" t="s">
        <v>665</v>
      </c>
      <c r="I114" t="s">
        <v>664</v>
      </c>
      <c r="J114" t="s">
        <v>665</v>
      </c>
      <c r="K114" t="s">
        <v>666</v>
      </c>
      <c r="L114" t="s">
        <v>666</v>
      </c>
    </row>
    <row r="115" spans="8:12">
      <c r="H115" t="s">
        <v>673</v>
      </c>
      <c r="I115" t="s">
        <v>674</v>
      </c>
      <c r="J115" t="s">
        <v>675</v>
      </c>
      <c r="K115" t="s">
        <v>676</v>
      </c>
      <c r="L115" t="s">
        <v>677</v>
      </c>
    </row>
    <row r="116" spans="8:12">
      <c r="H116" t="s">
        <v>689</v>
      </c>
      <c r="I116" t="s">
        <v>690</v>
      </c>
      <c r="J116" t="s">
        <v>491</v>
      </c>
      <c r="K116" t="s">
        <v>281</v>
      </c>
      <c r="L116" t="s">
        <v>324</v>
      </c>
    </row>
    <row r="117" spans="8:12">
      <c r="H117" t="s">
        <v>701</v>
      </c>
      <c r="I117" t="s">
        <v>702</v>
      </c>
      <c r="J117" t="s">
        <v>703</v>
      </c>
      <c r="K117" t="s">
        <v>58</v>
      </c>
      <c r="L117" t="s">
        <v>59</v>
      </c>
    </row>
    <row r="118" spans="8:12">
      <c r="H118" t="s">
        <v>714</v>
      </c>
      <c r="I118" t="s">
        <v>715</v>
      </c>
      <c r="J118" t="s">
        <v>716</v>
      </c>
      <c r="K118" t="s">
        <v>205</v>
      </c>
      <c r="L118" t="s">
        <v>43</v>
      </c>
    </row>
    <row r="119" spans="8:12">
      <c r="H119" t="s">
        <v>726</v>
      </c>
      <c r="I119" t="s">
        <v>727</v>
      </c>
      <c r="J119" t="s">
        <v>728</v>
      </c>
      <c r="K119" t="s">
        <v>115</v>
      </c>
      <c r="L119" t="s">
        <v>371</v>
      </c>
    </row>
    <row r="120" spans="8:12">
      <c r="H120" t="s">
        <v>738</v>
      </c>
      <c r="I120" t="s">
        <v>739</v>
      </c>
      <c r="J120" t="s">
        <v>740</v>
      </c>
      <c r="K120" t="s">
        <v>741</v>
      </c>
      <c r="L120" t="s">
        <v>377</v>
      </c>
    </row>
    <row r="121" spans="8:12">
      <c r="H121" t="s">
        <v>752</v>
      </c>
      <c r="I121" t="s">
        <v>753</v>
      </c>
      <c r="J121" t="s">
        <v>754</v>
      </c>
      <c r="K121" t="s">
        <v>755</v>
      </c>
      <c r="L121" t="s">
        <v>756</v>
      </c>
    </row>
    <row r="122" spans="8:12">
      <c r="H122" t="s">
        <v>767</v>
      </c>
      <c r="I122" t="s">
        <v>768</v>
      </c>
      <c r="J122" t="s">
        <v>769</v>
      </c>
      <c r="K122" t="s">
        <v>430</v>
      </c>
      <c r="L122" t="s">
        <v>622</v>
      </c>
    </row>
    <row r="123" spans="8:12">
      <c r="H123" t="s">
        <v>778</v>
      </c>
      <c r="I123" t="s">
        <v>779</v>
      </c>
      <c r="J123" t="s">
        <v>780</v>
      </c>
      <c r="K123" t="s">
        <v>36</v>
      </c>
      <c r="L123" t="s">
        <v>83</v>
      </c>
    </row>
    <row r="124" spans="8:12">
      <c r="H124" t="s">
        <v>789</v>
      </c>
      <c r="I124" t="s">
        <v>790</v>
      </c>
      <c r="J124" t="s">
        <v>791</v>
      </c>
      <c r="K124" t="s">
        <v>52</v>
      </c>
      <c r="L124" t="s">
        <v>449</v>
      </c>
    </row>
    <row r="125" spans="8:12">
      <c r="H125" t="s">
        <v>802</v>
      </c>
      <c r="I125" t="s">
        <v>803</v>
      </c>
      <c r="J125" t="s">
        <v>804</v>
      </c>
      <c r="K125" t="s">
        <v>52</v>
      </c>
      <c r="L125" t="s">
        <v>377</v>
      </c>
    </row>
    <row r="126" spans="8:12">
      <c r="H126" t="s">
        <v>813</v>
      </c>
      <c r="I126" t="s">
        <v>814</v>
      </c>
      <c r="J126" t="s">
        <v>815</v>
      </c>
      <c r="K126" t="s">
        <v>167</v>
      </c>
      <c r="L126" t="s">
        <v>51</v>
      </c>
    </row>
    <row r="127" spans="8:12">
      <c r="H127" t="s">
        <v>824</v>
      </c>
      <c r="I127" t="s">
        <v>825</v>
      </c>
      <c r="J127" t="s">
        <v>826</v>
      </c>
      <c r="K127" t="s">
        <v>121</v>
      </c>
      <c r="L127" t="s">
        <v>59</v>
      </c>
    </row>
    <row r="128" spans="8:12">
      <c r="H128" t="s">
        <v>835</v>
      </c>
      <c r="I128" t="s">
        <v>836</v>
      </c>
      <c r="J128" t="s">
        <v>837</v>
      </c>
      <c r="K128" t="s">
        <v>159</v>
      </c>
      <c r="L128" t="s">
        <v>205</v>
      </c>
    </row>
    <row r="129" spans="8:12">
      <c r="H129" t="s">
        <v>849</v>
      </c>
      <c r="I129" t="s">
        <v>848</v>
      </c>
      <c r="J129" t="s">
        <v>849</v>
      </c>
      <c r="K129" t="s">
        <v>386</v>
      </c>
      <c r="L129" t="s">
        <v>386</v>
      </c>
    </row>
  </sheetData>
  <autoFilter ref="A2:U66" xr:uid="{00000000-0001-0000-0100-000000000000}"/>
  <mergeCells count="2">
    <mergeCell ref="H1:M1"/>
    <mergeCell ref="P1:U1"/>
  </mergeCells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FAAE5-BD19-42EA-91E0-D0B95F998790}">
  <dimension ref="A2:N68"/>
  <sheetViews>
    <sheetView topLeftCell="A17" workbookViewId="0">
      <selection activeCell="H12" sqref="H12"/>
    </sheetView>
  </sheetViews>
  <sheetFormatPr defaultRowHeight="16.5"/>
  <cols>
    <col min="2" max="2" width="19.875" style="28" bestFit="1" customWidth="1"/>
    <col min="3" max="3" width="15.625" style="28" customWidth="1"/>
    <col min="4" max="4" width="21.625" style="28" bestFit="1" customWidth="1"/>
    <col min="13" max="13" width="12.625" style="23" customWidth="1"/>
    <col min="14" max="14" width="20.625" customWidth="1"/>
  </cols>
  <sheetData>
    <row r="2" spans="1:14">
      <c r="A2" s="28"/>
      <c r="B2" s="33" t="s">
        <v>889</v>
      </c>
      <c r="C2" s="33" t="s">
        <v>890</v>
      </c>
      <c r="D2" s="33" t="s">
        <v>891</v>
      </c>
      <c r="E2" s="33">
        <v>2023</v>
      </c>
      <c r="F2" s="33"/>
      <c r="G2" s="33"/>
      <c r="H2" s="33"/>
      <c r="I2" s="33">
        <v>2024</v>
      </c>
      <c r="J2" s="33"/>
      <c r="K2" s="33"/>
      <c r="L2" s="33"/>
      <c r="M2" s="33" t="s">
        <v>893</v>
      </c>
      <c r="N2" s="33" t="s">
        <v>892</v>
      </c>
    </row>
    <row r="3" spans="1:14">
      <c r="A3" s="28"/>
      <c r="B3" s="33"/>
      <c r="C3" s="33"/>
      <c r="D3" s="33"/>
      <c r="E3" s="33" t="s">
        <v>954</v>
      </c>
      <c r="F3" s="33"/>
      <c r="G3" s="33" t="s">
        <v>957</v>
      </c>
      <c r="H3" s="33"/>
      <c r="I3" s="33" t="s">
        <v>954</v>
      </c>
      <c r="J3" s="33"/>
      <c r="K3" s="33" t="s">
        <v>957</v>
      </c>
      <c r="L3" s="33"/>
      <c r="M3" s="33"/>
      <c r="N3" s="33"/>
    </row>
    <row r="4" spans="1:14">
      <c r="A4" s="28"/>
      <c r="B4" s="33"/>
      <c r="C4" s="33"/>
      <c r="D4" s="33"/>
      <c r="E4" s="25" t="s">
        <v>955</v>
      </c>
      <c r="F4" s="25" t="s">
        <v>956</v>
      </c>
      <c r="G4" s="25" t="s">
        <v>955</v>
      </c>
      <c r="H4" s="25" t="s">
        <v>956</v>
      </c>
      <c r="I4" s="25" t="s">
        <v>955</v>
      </c>
      <c r="J4" s="25" t="s">
        <v>956</v>
      </c>
      <c r="K4" s="25" t="s">
        <v>955</v>
      </c>
      <c r="L4" s="25" t="s">
        <v>956</v>
      </c>
      <c r="M4" s="33"/>
      <c r="N4" s="33"/>
    </row>
    <row r="5" spans="1:14" ht="33">
      <c r="B5" s="24" t="s">
        <v>894</v>
      </c>
      <c r="C5" s="24" t="s">
        <v>895</v>
      </c>
      <c r="D5" s="24" t="s">
        <v>959</v>
      </c>
      <c r="E5" s="26">
        <v>5.49</v>
      </c>
      <c r="F5" s="26">
        <v>-39.19</v>
      </c>
      <c r="G5" s="26">
        <v>-90</v>
      </c>
      <c r="H5" s="26">
        <v>-60</v>
      </c>
      <c r="I5" s="26">
        <v>121.78</v>
      </c>
      <c r="J5" s="26">
        <v>9.24</v>
      </c>
      <c r="K5" s="26">
        <v>-220</v>
      </c>
      <c r="L5" s="26">
        <v>-160</v>
      </c>
      <c r="M5" s="24" t="s">
        <v>896</v>
      </c>
      <c r="N5" s="27"/>
    </row>
    <row r="6" spans="1:14" ht="33">
      <c r="B6" s="24" t="s">
        <v>894</v>
      </c>
      <c r="C6" s="24" t="s">
        <v>897</v>
      </c>
      <c r="D6" s="24" t="s">
        <v>958</v>
      </c>
      <c r="E6" s="26">
        <v>54.87</v>
      </c>
      <c r="F6" s="26">
        <v>53.23</v>
      </c>
      <c r="G6" s="26">
        <v>-140</v>
      </c>
      <c r="H6" s="26">
        <v>-110</v>
      </c>
      <c r="I6" s="26">
        <v>-3.86</v>
      </c>
      <c r="J6" s="26">
        <v>-4.1500000000000004</v>
      </c>
      <c r="K6" s="26">
        <v>-70</v>
      </c>
      <c r="L6" s="26">
        <v>-30</v>
      </c>
      <c r="M6" s="24" t="s">
        <v>898</v>
      </c>
      <c r="N6" s="27"/>
    </row>
    <row r="7" spans="1:14" ht="33">
      <c r="B7" s="24" t="s">
        <v>894</v>
      </c>
      <c r="C7" s="24" t="s">
        <v>899</v>
      </c>
      <c r="D7" s="24" t="s">
        <v>960</v>
      </c>
      <c r="E7" s="26">
        <v>-10.24</v>
      </c>
      <c r="F7" s="26">
        <v>-25.57</v>
      </c>
      <c r="G7" s="26">
        <v>-280</v>
      </c>
      <c r="H7" s="26">
        <v>-280</v>
      </c>
      <c r="I7" s="26">
        <v>441.26</v>
      </c>
      <c r="J7" s="26">
        <v>295.51</v>
      </c>
      <c r="K7" s="26">
        <v>210</v>
      </c>
      <c r="L7" s="26">
        <v>270</v>
      </c>
      <c r="M7" s="24" t="s">
        <v>901</v>
      </c>
      <c r="N7" s="27" t="s">
        <v>900</v>
      </c>
    </row>
    <row r="8" spans="1:14" ht="33">
      <c r="B8" s="24" t="s">
        <v>894</v>
      </c>
      <c r="C8" s="24" t="s">
        <v>899</v>
      </c>
      <c r="D8" s="24" t="s">
        <v>961</v>
      </c>
      <c r="E8" s="26">
        <v>-22.06</v>
      </c>
      <c r="F8" s="26">
        <v>-30.23</v>
      </c>
      <c r="G8" s="26">
        <v>-40</v>
      </c>
      <c r="H8" s="26">
        <v>-50</v>
      </c>
      <c r="I8" s="26">
        <v>-2.13</v>
      </c>
      <c r="J8" s="26">
        <v>-6.64</v>
      </c>
      <c r="K8" s="26">
        <v>-580</v>
      </c>
      <c r="L8" s="26">
        <v>-590</v>
      </c>
      <c r="M8" s="24" t="s">
        <v>901</v>
      </c>
      <c r="N8" s="27" t="s">
        <v>902</v>
      </c>
    </row>
    <row r="9" spans="1:14" ht="33">
      <c r="B9" s="24" t="s">
        <v>894</v>
      </c>
      <c r="C9" s="24" t="s">
        <v>899</v>
      </c>
      <c r="D9" s="24" t="s">
        <v>962</v>
      </c>
      <c r="E9" s="26">
        <v>-30.63</v>
      </c>
      <c r="F9" s="26">
        <v>-43.63</v>
      </c>
      <c r="G9" s="26">
        <v>120</v>
      </c>
      <c r="H9" s="26">
        <v>-50</v>
      </c>
      <c r="I9" s="26">
        <v>939.48</v>
      </c>
      <c r="J9" s="26">
        <v>395.84</v>
      </c>
      <c r="K9" s="26">
        <v>14570</v>
      </c>
      <c r="L9" s="26">
        <v>14140</v>
      </c>
      <c r="M9" s="24" t="s">
        <v>901</v>
      </c>
      <c r="N9" s="27" t="s">
        <v>903</v>
      </c>
    </row>
    <row r="10" spans="1:14" ht="33">
      <c r="B10" s="24" t="s">
        <v>894</v>
      </c>
      <c r="C10" s="24" t="s">
        <v>904</v>
      </c>
      <c r="D10" s="24" t="s">
        <v>963</v>
      </c>
      <c r="E10" s="26">
        <v>45.02</v>
      </c>
      <c r="F10" s="26">
        <v>0.3</v>
      </c>
      <c r="G10" s="26">
        <v>-170</v>
      </c>
      <c r="H10" s="26">
        <v>60</v>
      </c>
      <c r="I10" s="26">
        <v>38.11</v>
      </c>
      <c r="J10" s="26">
        <v>3.5</v>
      </c>
      <c r="K10" s="26">
        <v>-80</v>
      </c>
      <c r="L10" s="26">
        <v>-40</v>
      </c>
      <c r="M10" s="24" t="s">
        <v>898</v>
      </c>
      <c r="N10" s="27"/>
    </row>
    <row r="11" spans="1:14" ht="33">
      <c r="B11" s="24" t="s">
        <v>894</v>
      </c>
      <c r="C11" s="24" t="s">
        <v>905</v>
      </c>
      <c r="D11" s="24" t="s">
        <v>964</v>
      </c>
      <c r="E11" s="26">
        <v>33.51</v>
      </c>
      <c r="F11" s="26">
        <v>20.47</v>
      </c>
      <c r="G11" s="26">
        <v>3910</v>
      </c>
      <c r="H11" s="26">
        <v>3960</v>
      </c>
      <c r="I11" s="26">
        <v>106.5</v>
      </c>
      <c r="J11" s="26">
        <v>84.37</v>
      </c>
      <c r="K11" s="26">
        <v>-1120</v>
      </c>
      <c r="L11" s="26">
        <v>-1110</v>
      </c>
      <c r="M11" s="24" t="s">
        <v>901</v>
      </c>
      <c r="N11" s="27" t="s">
        <v>906</v>
      </c>
    </row>
    <row r="12" spans="1:14" ht="33">
      <c r="B12" s="24" t="s">
        <v>894</v>
      </c>
      <c r="C12" s="24" t="s">
        <v>905</v>
      </c>
      <c r="D12" s="24" t="s">
        <v>965</v>
      </c>
      <c r="E12" s="26">
        <v>125.44</v>
      </c>
      <c r="F12" s="26">
        <v>94.19</v>
      </c>
      <c r="G12" s="26">
        <v>2350</v>
      </c>
      <c r="H12" s="26">
        <v>2340</v>
      </c>
      <c r="I12" s="26">
        <v>133.43</v>
      </c>
      <c r="J12" s="26">
        <v>99.57</v>
      </c>
      <c r="K12" s="26">
        <v>-1100</v>
      </c>
      <c r="L12" s="26">
        <v>-1090</v>
      </c>
      <c r="M12" s="24" t="s">
        <v>901</v>
      </c>
      <c r="N12" s="27" t="s">
        <v>906</v>
      </c>
    </row>
    <row r="13" spans="1:14" ht="33">
      <c r="B13" s="24" t="s">
        <v>894</v>
      </c>
      <c r="C13" s="24" t="s">
        <v>905</v>
      </c>
      <c r="D13" s="24" t="s">
        <v>966</v>
      </c>
      <c r="E13" s="26">
        <v>61.77</v>
      </c>
      <c r="F13" s="26">
        <v>17.34</v>
      </c>
      <c r="G13" s="26">
        <v>-320</v>
      </c>
      <c r="H13" s="26">
        <v>-290</v>
      </c>
      <c r="I13" s="26">
        <v>65.709999999999994</v>
      </c>
      <c r="J13" s="26">
        <v>2.08</v>
      </c>
      <c r="K13" s="26">
        <v>-250</v>
      </c>
      <c r="L13" s="26">
        <v>-210</v>
      </c>
      <c r="M13" s="24" t="s">
        <v>898</v>
      </c>
      <c r="N13" s="27"/>
    </row>
    <row r="14" spans="1:14" ht="33">
      <c r="B14" s="24" t="s">
        <v>894</v>
      </c>
      <c r="C14" s="24" t="s">
        <v>905</v>
      </c>
      <c r="D14" s="24" t="s">
        <v>967</v>
      </c>
      <c r="E14" s="26">
        <v>138.72999999999999</v>
      </c>
      <c r="F14" s="26">
        <v>106.78</v>
      </c>
      <c r="G14" s="26">
        <v>2780</v>
      </c>
      <c r="H14" s="26">
        <v>2770</v>
      </c>
      <c r="I14" s="26">
        <v>117.34</v>
      </c>
      <c r="J14" s="26">
        <v>89.32</v>
      </c>
      <c r="K14" s="26">
        <v>-940</v>
      </c>
      <c r="L14" s="26">
        <v>-930</v>
      </c>
      <c r="M14" s="24" t="s">
        <v>901</v>
      </c>
      <c r="N14" s="27" t="s">
        <v>907</v>
      </c>
    </row>
    <row r="15" spans="1:14" ht="33">
      <c r="B15" s="24" t="s">
        <v>894</v>
      </c>
      <c r="C15" s="24" t="s">
        <v>905</v>
      </c>
      <c r="D15" s="24" t="s">
        <v>968</v>
      </c>
      <c r="E15" s="26">
        <v>-13.02</v>
      </c>
      <c r="F15" s="26">
        <v>-21.84</v>
      </c>
      <c r="G15" s="26">
        <v>3560</v>
      </c>
      <c r="H15" s="26">
        <v>3580</v>
      </c>
      <c r="I15" s="26">
        <v>6.27</v>
      </c>
      <c r="J15" s="26">
        <v>-8.41</v>
      </c>
      <c r="K15" s="26">
        <v>-740</v>
      </c>
      <c r="L15" s="26">
        <v>-680</v>
      </c>
      <c r="M15" s="24" t="s">
        <v>901</v>
      </c>
      <c r="N15" s="27" t="s">
        <v>902</v>
      </c>
    </row>
    <row r="16" spans="1:14" ht="33">
      <c r="B16" s="24" t="s">
        <v>894</v>
      </c>
      <c r="C16" s="24" t="s">
        <v>905</v>
      </c>
      <c r="D16" s="24" t="s">
        <v>969</v>
      </c>
      <c r="E16" s="26">
        <v>11.8</v>
      </c>
      <c r="F16" s="26">
        <v>3.02</v>
      </c>
      <c r="G16" s="26">
        <v>-280</v>
      </c>
      <c r="H16" s="26">
        <v>-270</v>
      </c>
      <c r="I16" s="26">
        <v>61.92</v>
      </c>
      <c r="J16" s="26">
        <v>37.97</v>
      </c>
      <c r="K16" s="26">
        <v>-920</v>
      </c>
      <c r="L16" s="26">
        <v>-870</v>
      </c>
      <c r="M16" s="24" t="s">
        <v>901</v>
      </c>
      <c r="N16" s="27" t="s">
        <v>908</v>
      </c>
    </row>
    <row r="17" spans="2:14" ht="33">
      <c r="B17" s="24" t="s">
        <v>894</v>
      </c>
      <c r="C17" s="24" t="s">
        <v>905</v>
      </c>
      <c r="D17" s="24" t="s">
        <v>970</v>
      </c>
      <c r="E17" s="26">
        <v>22.68</v>
      </c>
      <c r="F17" s="26">
        <v>13.54</v>
      </c>
      <c r="G17" s="26">
        <v>-480</v>
      </c>
      <c r="H17" s="26">
        <v>-460</v>
      </c>
      <c r="I17" s="26">
        <v>55.64</v>
      </c>
      <c r="J17" s="26">
        <v>36.700000000000003</v>
      </c>
      <c r="K17" s="26">
        <v>-1060</v>
      </c>
      <c r="L17" s="26">
        <v>-1040</v>
      </c>
      <c r="M17" s="24" t="s">
        <v>901</v>
      </c>
      <c r="N17" s="27" t="s">
        <v>906</v>
      </c>
    </row>
    <row r="18" spans="2:14" ht="33">
      <c r="B18" s="24" t="s">
        <v>894</v>
      </c>
      <c r="C18" s="24" t="s">
        <v>905</v>
      </c>
      <c r="D18" s="24" t="s">
        <v>971</v>
      </c>
      <c r="E18" s="26">
        <v>21.17</v>
      </c>
      <c r="F18" s="26">
        <v>12.41</v>
      </c>
      <c r="G18" s="26">
        <v>-920</v>
      </c>
      <c r="H18" s="26">
        <v>-910</v>
      </c>
      <c r="I18" s="26">
        <v>138.59</v>
      </c>
      <c r="J18" s="26">
        <v>112.28</v>
      </c>
      <c r="K18" s="26">
        <v>-260</v>
      </c>
      <c r="L18" s="26">
        <v>-240</v>
      </c>
      <c r="M18" s="24" t="s">
        <v>901</v>
      </c>
      <c r="N18" s="27" t="s">
        <v>906</v>
      </c>
    </row>
    <row r="19" spans="2:14" ht="33">
      <c r="B19" s="24" t="s">
        <v>894</v>
      </c>
      <c r="C19" s="24" t="s">
        <v>905</v>
      </c>
      <c r="D19" s="24" t="s">
        <v>972</v>
      </c>
      <c r="E19" s="26">
        <v>135.11000000000001</v>
      </c>
      <c r="F19" s="26">
        <v>102.97</v>
      </c>
      <c r="G19" s="26">
        <v>3200</v>
      </c>
      <c r="H19" s="26">
        <v>3220</v>
      </c>
      <c r="I19" s="26">
        <v>121.14</v>
      </c>
      <c r="J19" s="26">
        <v>87.29</v>
      </c>
      <c r="K19" s="26">
        <v>-1260</v>
      </c>
      <c r="L19" s="26">
        <v>-1250</v>
      </c>
      <c r="M19" s="24" t="s">
        <v>901</v>
      </c>
      <c r="N19" s="27" t="s">
        <v>906</v>
      </c>
    </row>
    <row r="20" spans="2:14" ht="33">
      <c r="B20" s="24" t="s">
        <v>894</v>
      </c>
      <c r="C20" s="24" t="s">
        <v>905</v>
      </c>
      <c r="D20" s="24" t="s">
        <v>973</v>
      </c>
      <c r="E20" s="26">
        <v>81.93</v>
      </c>
      <c r="F20" s="26">
        <v>56.72</v>
      </c>
      <c r="G20" s="26">
        <v>3610</v>
      </c>
      <c r="H20" s="26">
        <v>3620</v>
      </c>
      <c r="I20" s="26">
        <v>89.48</v>
      </c>
      <c r="J20" s="26">
        <v>66.86</v>
      </c>
      <c r="K20" s="26">
        <v>-1280</v>
      </c>
      <c r="L20" s="26">
        <v>-1270</v>
      </c>
      <c r="M20" s="24" t="s">
        <v>901</v>
      </c>
      <c r="N20" s="27" t="s">
        <v>906</v>
      </c>
    </row>
    <row r="21" spans="2:14" ht="33">
      <c r="B21" s="24" t="s">
        <v>894</v>
      </c>
      <c r="C21" s="24" t="s">
        <v>909</v>
      </c>
      <c r="D21" s="24" t="s">
        <v>974</v>
      </c>
      <c r="E21" s="26">
        <v>-13.17</v>
      </c>
      <c r="F21" s="26">
        <v>-15.82</v>
      </c>
      <c r="G21" s="26">
        <v>-150</v>
      </c>
      <c r="H21" s="26">
        <v>-130</v>
      </c>
      <c r="I21" s="26">
        <v>5.19</v>
      </c>
      <c r="J21" s="26">
        <v>5.81</v>
      </c>
      <c r="K21" s="26">
        <v>-400</v>
      </c>
      <c r="L21" s="26">
        <v>-400</v>
      </c>
      <c r="M21" s="24" t="s">
        <v>901</v>
      </c>
      <c r="N21" s="27" t="s">
        <v>902</v>
      </c>
    </row>
    <row r="22" spans="2:14" ht="33">
      <c r="B22" s="24" t="s">
        <v>894</v>
      </c>
      <c r="C22" s="24" t="s">
        <v>909</v>
      </c>
      <c r="D22" s="24" t="s">
        <v>975</v>
      </c>
      <c r="E22" s="26">
        <v>42.67</v>
      </c>
      <c r="F22" s="26">
        <v>5.31</v>
      </c>
      <c r="G22" s="26">
        <v>-500</v>
      </c>
      <c r="H22" s="26">
        <v>-500</v>
      </c>
      <c r="I22" s="26">
        <v>84.88</v>
      </c>
      <c r="J22" s="26">
        <v>23.51</v>
      </c>
      <c r="K22" s="26">
        <v>-430</v>
      </c>
      <c r="L22" s="26">
        <v>-420</v>
      </c>
      <c r="M22" s="24" t="s">
        <v>898</v>
      </c>
      <c r="N22" s="27"/>
    </row>
    <row r="23" spans="2:14" ht="33">
      <c r="B23" s="24" t="s">
        <v>894</v>
      </c>
      <c r="C23" s="24" t="s">
        <v>909</v>
      </c>
      <c r="D23" s="24" t="s">
        <v>976</v>
      </c>
      <c r="E23" s="26">
        <v>551.66999999999996</v>
      </c>
      <c r="F23" s="26">
        <v>551.66999999999996</v>
      </c>
      <c r="G23" s="26">
        <v>11690</v>
      </c>
      <c r="H23" s="26">
        <v>11690</v>
      </c>
      <c r="I23" s="26"/>
      <c r="J23" s="26"/>
      <c r="K23" s="26">
        <v>22400</v>
      </c>
      <c r="L23" s="26">
        <v>22400</v>
      </c>
      <c r="M23" s="24" t="s">
        <v>901</v>
      </c>
      <c r="N23" s="27" t="s">
        <v>902</v>
      </c>
    </row>
    <row r="24" spans="2:14" ht="33">
      <c r="B24" s="24" t="s">
        <v>894</v>
      </c>
      <c r="C24" s="24" t="s">
        <v>910</v>
      </c>
      <c r="D24" s="24" t="s">
        <v>977</v>
      </c>
      <c r="E24" s="26">
        <v>-35.57</v>
      </c>
      <c r="F24" s="26">
        <v>-38.270000000000003</v>
      </c>
      <c r="G24" s="26">
        <v>-70</v>
      </c>
      <c r="H24" s="26">
        <v>-70</v>
      </c>
      <c r="I24" s="26">
        <v>104.73</v>
      </c>
      <c r="J24" s="26">
        <v>89.33</v>
      </c>
      <c r="K24" s="26">
        <v>-30</v>
      </c>
      <c r="L24" s="26">
        <v>-20</v>
      </c>
      <c r="M24" s="24" t="s">
        <v>901</v>
      </c>
      <c r="N24" s="27" t="s">
        <v>902</v>
      </c>
    </row>
    <row r="25" spans="2:14" ht="33">
      <c r="B25" s="24" t="s">
        <v>894</v>
      </c>
      <c r="C25" s="24" t="s">
        <v>910</v>
      </c>
      <c r="D25" s="24" t="s">
        <v>978</v>
      </c>
      <c r="E25" s="26">
        <v>19.309999999999999</v>
      </c>
      <c r="F25" s="26">
        <v>-0.04</v>
      </c>
      <c r="G25" s="26">
        <v>-210</v>
      </c>
      <c r="H25" s="26">
        <v>-190</v>
      </c>
      <c r="I25" s="26">
        <v>82.44</v>
      </c>
      <c r="J25" s="26">
        <v>28.71</v>
      </c>
      <c r="K25" s="26">
        <v>-840</v>
      </c>
      <c r="L25" s="26">
        <v>-560</v>
      </c>
      <c r="M25" s="24" t="s">
        <v>898</v>
      </c>
      <c r="N25" s="27"/>
    </row>
    <row r="26" spans="2:14" ht="33">
      <c r="B26" s="24" t="s">
        <v>894</v>
      </c>
      <c r="C26" s="24" t="s">
        <v>911</v>
      </c>
      <c r="D26" s="24" t="s">
        <v>979</v>
      </c>
      <c r="E26" s="26">
        <v>109.69</v>
      </c>
      <c r="F26" s="26">
        <v>-16.02</v>
      </c>
      <c r="G26" s="26">
        <v>-2680</v>
      </c>
      <c r="H26" s="26">
        <v>-60</v>
      </c>
      <c r="I26" s="26">
        <v>145.13</v>
      </c>
      <c r="J26" s="26">
        <v>7.68</v>
      </c>
      <c r="K26" s="26">
        <v>-150</v>
      </c>
      <c r="L26" s="26">
        <v>-30</v>
      </c>
      <c r="M26" s="24" t="s">
        <v>898</v>
      </c>
      <c r="N26" s="27"/>
    </row>
    <row r="27" spans="2:14" ht="33">
      <c r="B27" s="24" t="s">
        <v>894</v>
      </c>
      <c r="C27" s="24" t="s">
        <v>912</v>
      </c>
      <c r="D27" s="24" t="s">
        <v>980</v>
      </c>
      <c r="E27" s="26">
        <v>-89.7</v>
      </c>
      <c r="F27" s="26">
        <v>-87.37</v>
      </c>
      <c r="G27" s="26">
        <v>-160</v>
      </c>
      <c r="H27" s="26">
        <v>-170</v>
      </c>
      <c r="I27" s="26">
        <v>-91.24</v>
      </c>
      <c r="J27" s="26">
        <v>-90.29</v>
      </c>
      <c r="K27" s="26">
        <v>-160</v>
      </c>
      <c r="L27" s="26">
        <v>-140</v>
      </c>
      <c r="M27" s="24" t="s">
        <v>901</v>
      </c>
      <c r="N27" s="27" t="s">
        <v>902</v>
      </c>
    </row>
    <row r="28" spans="2:14" ht="33">
      <c r="B28" s="24" t="s">
        <v>894</v>
      </c>
      <c r="C28" s="24" t="s">
        <v>913</v>
      </c>
      <c r="D28" s="24" t="s">
        <v>981</v>
      </c>
      <c r="E28" s="26">
        <v>-56.76</v>
      </c>
      <c r="F28" s="26">
        <v>-73.17</v>
      </c>
      <c r="G28" s="26">
        <v>-20</v>
      </c>
      <c r="H28" s="26">
        <v>80</v>
      </c>
      <c r="I28" s="26">
        <v>53.16</v>
      </c>
      <c r="J28" s="26">
        <v>12.32</v>
      </c>
      <c r="K28" s="26">
        <v>40</v>
      </c>
      <c r="L28" s="26">
        <v>80</v>
      </c>
      <c r="M28" s="24" t="s">
        <v>896</v>
      </c>
      <c r="N28" s="27"/>
    </row>
    <row r="29" spans="2:14" ht="33">
      <c r="B29" s="24" t="s">
        <v>894</v>
      </c>
      <c r="C29" s="24" t="s">
        <v>914</v>
      </c>
      <c r="D29" s="24" t="s">
        <v>982</v>
      </c>
      <c r="E29" s="26">
        <v>15.3</v>
      </c>
      <c r="F29" s="26">
        <v>-22.05</v>
      </c>
      <c r="G29" s="26">
        <v>140</v>
      </c>
      <c r="H29" s="26">
        <v>0</v>
      </c>
      <c r="I29" s="26">
        <v>96.3</v>
      </c>
      <c r="J29" s="26">
        <v>13.62</v>
      </c>
      <c r="K29" s="26">
        <v>-130</v>
      </c>
      <c r="L29" s="26">
        <v>-50</v>
      </c>
      <c r="M29" s="24" t="s">
        <v>898</v>
      </c>
      <c r="N29" s="27"/>
    </row>
    <row r="30" spans="2:14" ht="33">
      <c r="B30" s="24" t="s">
        <v>894</v>
      </c>
      <c r="C30" s="24" t="s">
        <v>915</v>
      </c>
      <c r="D30" s="24" t="s">
        <v>983</v>
      </c>
      <c r="E30" s="26">
        <v>33.15</v>
      </c>
      <c r="F30" s="26">
        <v>4.53</v>
      </c>
      <c r="G30" s="26">
        <v>-30</v>
      </c>
      <c r="H30" s="26">
        <v>80</v>
      </c>
      <c r="I30" s="26">
        <v>24.9</v>
      </c>
      <c r="J30" s="26">
        <v>5.65</v>
      </c>
      <c r="K30" s="26">
        <v>-150</v>
      </c>
      <c r="L30" s="26">
        <v>-30</v>
      </c>
      <c r="M30" s="24" t="s">
        <v>898</v>
      </c>
      <c r="N30" s="27"/>
    </row>
    <row r="31" spans="2:14" ht="33">
      <c r="B31" s="24" t="s">
        <v>894</v>
      </c>
      <c r="C31" s="24" t="s">
        <v>916</v>
      </c>
      <c r="D31" s="24" t="s">
        <v>984</v>
      </c>
      <c r="E31" s="26">
        <v>-19.440000000000001</v>
      </c>
      <c r="F31" s="26">
        <v>-29.33</v>
      </c>
      <c r="G31" s="26">
        <v>50</v>
      </c>
      <c r="H31" s="26">
        <v>60</v>
      </c>
      <c r="I31" s="26">
        <v>21.79</v>
      </c>
      <c r="J31" s="26">
        <v>9.76</v>
      </c>
      <c r="K31" s="26">
        <v>130</v>
      </c>
      <c r="L31" s="26">
        <v>130</v>
      </c>
      <c r="M31" s="24" t="s">
        <v>896</v>
      </c>
      <c r="N31" s="27"/>
    </row>
    <row r="32" spans="2:14" ht="33">
      <c r="B32" s="24" t="s">
        <v>894</v>
      </c>
      <c r="C32" s="24" t="s">
        <v>917</v>
      </c>
      <c r="D32" s="24" t="s">
        <v>985</v>
      </c>
      <c r="E32" s="26">
        <v>-34.86</v>
      </c>
      <c r="F32" s="26">
        <v>-31.84</v>
      </c>
      <c r="G32" s="26">
        <v>150</v>
      </c>
      <c r="H32" s="26">
        <v>-50</v>
      </c>
      <c r="I32" s="26">
        <v>-10.68</v>
      </c>
      <c r="J32" s="26">
        <v>-3.3</v>
      </c>
      <c r="K32" s="26">
        <v>-10</v>
      </c>
      <c r="L32" s="26">
        <v>-10</v>
      </c>
      <c r="M32" s="24" t="s">
        <v>898</v>
      </c>
      <c r="N32" s="27"/>
    </row>
    <row r="33" spans="2:14" ht="33">
      <c r="B33" s="24" t="s">
        <v>894</v>
      </c>
      <c r="C33" s="24" t="s">
        <v>918</v>
      </c>
      <c r="D33" s="24" t="s">
        <v>986</v>
      </c>
      <c r="E33" s="26">
        <v>15.93</v>
      </c>
      <c r="F33" s="26">
        <v>15.23</v>
      </c>
      <c r="G33" s="26">
        <v>-10</v>
      </c>
      <c r="H33" s="26">
        <v>0</v>
      </c>
      <c r="I33" s="26">
        <v>-11.29</v>
      </c>
      <c r="J33" s="26">
        <v>-11.39</v>
      </c>
      <c r="K33" s="26">
        <v>-80</v>
      </c>
      <c r="L33" s="26">
        <v>-70</v>
      </c>
      <c r="M33" s="24" t="s">
        <v>898</v>
      </c>
      <c r="N33" s="27"/>
    </row>
    <row r="34" spans="2:14" ht="33">
      <c r="B34" s="24" t="s">
        <v>894</v>
      </c>
      <c r="C34" s="24" t="s">
        <v>919</v>
      </c>
      <c r="D34" s="24" t="s">
        <v>987</v>
      </c>
      <c r="E34" s="26">
        <v>55.2</v>
      </c>
      <c r="F34" s="26">
        <v>55.2</v>
      </c>
      <c r="G34" s="26">
        <v>-100</v>
      </c>
      <c r="H34" s="26">
        <v>-100</v>
      </c>
      <c r="I34" s="26">
        <v>15.36</v>
      </c>
      <c r="J34" s="26">
        <v>15.36</v>
      </c>
      <c r="K34" s="26">
        <v>16380</v>
      </c>
      <c r="L34" s="26">
        <v>16380</v>
      </c>
      <c r="M34" s="24" t="s">
        <v>901</v>
      </c>
      <c r="N34" s="27" t="s">
        <v>900</v>
      </c>
    </row>
    <row r="35" spans="2:14" ht="33">
      <c r="B35" s="24" t="s">
        <v>894</v>
      </c>
      <c r="C35" s="24" t="s">
        <v>920</v>
      </c>
      <c r="D35" s="24" t="s">
        <v>988</v>
      </c>
      <c r="E35" s="26">
        <v>-34.700000000000003</v>
      </c>
      <c r="F35" s="26">
        <v>-11.78</v>
      </c>
      <c r="G35" s="26">
        <v>-40</v>
      </c>
      <c r="H35" s="26">
        <v>-50</v>
      </c>
      <c r="I35" s="26">
        <v>-49.22</v>
      </c>
      <c r="J35" s="26">
        <v>-16.89</v>
      </c>
      <c r="K35" s="26">
        <v>260</v>
      </c>
      <c r="L35" s="26">
        <v>-70</v>
      </c>
      <c r="M35" s="24" t="s">
        <v>898</v>
      </c>
      <c r="N35" s="27"/>
    </row>
    <row r="36" spans="2:14" ht="33">
      <c r="B36" s="24" t="s">
        <v>894</v>
      </c>
      <c r="C36" s="24" t="s">
        <v>921</v>
      </c>
      <c r="D36" s="24" t="s">
        <v>989</v>
      </c>
      <c r="E36" s="26">
        <v>12.32</v>
      </c>
      <c r="F36" s="26">
        <v>-11.33</v>
      </c>
      <c r="G36" s="26">
        <v>-20</v>
      </c>
      <c r="H36" s="26">
        <v>-10</v>
      </c>
      <c r="I36" s="26">
        <v>45.44</v>
      </c>
      <c r="J36" s="26">
        <v>24.14</v>
      </c>
      <c r="K36" s="26">
        <v>-180</v>
      </c>
      <c r="L36" s="26">
        <v>-180</v>
      </c>
      <c r="M36" s="24" t="s">
        <v>898</v>
      </c>
      <c r="N36" s="27"/>
    </row>
    <row r="37" spans="2:14" ht="33">
      <c r="B37" s="24" t="s">
        <v>894</v>
      </c>
      <c r="C37" s="24" t="s">
        <v>922</v>
      </c>
      <c r="D37" s="24" t="s">
        <v>990</v>
      </c>
      <c r="E37" s="26">
        <v>101.64</v>
      </c>
      <c r="F37" s="26">
        <v>70.95</v>
      </c>
      <c r="G37" s="26">
        <v>-230</v>
      </c>
      <c r="H37" s="26">
        <v>-220</v>
      </c>
      <c r="I37" s="26">
        <v>12.57</v>
      </c>
      <c r="J37" s="26">
        <v>5.22</v>
      </c>
      <c r="K37" s="26">
        <v>-60</v>
      </c>
      <c r="L37" s="26">
        <v>-20</v>
      </c>
      <c r="M37" s="24" t="s">
        <v>898</v>
      </c>
      <c r="N37" s="27"/>
    </row>
    <row r="38" spans="2:14" ht="33">
      <c r="B38" s="24" t="s">
        <v>894</v>
      </c>
      <c r="C38" s="24" t="s">
        <v>923</v>
      </c>
      <c r="D38" s="24" t="s">
        <v>991</v>
      </c>
      <c r="E38" s="26">
        <v>1.23</v>
      </c>
      <c r="F38" s="26">
        <v>1.6</v>
      </c>
      <c r="G38" s="26">
        <v>-40</v>
      </c>
      <c r="H38" s="26">
        <v>-40</v>
      </c>
      <c r="I38" s="26">
        <v>-1.07</v>
      </c>
      <c r="J38" s="26">
        <v>-0.35</v>
      </c>
      <c r="K38" s="26">
        <v>-260</v>
      </c>
      <c r="L38" s="26">
        <v>-250</v>
      </c>
      <c r="M38" s="24" t="s">
        <v>898</v>
      </c>
      <c r="N38" s="27"/>
    </row>
    <row r="39" spans="2:14" ht="33">
      <c r="B39" s="24" t="s">
        <v>894</v>
      </c>
      <c r="C39" s="24" t="s">
        <v>924</v>
      </c>
      <c r="D39" s="24" t="s">
        <v>992</v>
      </c>
      <c r="E39" s="26">
        <v>-22.94</v>
      </c>
      <c r="F39" s="26">
        <v>12.6</v>
      </c>
      <c r="G39" s="26">
        <v>-30</v>
      </c>
      <c r="H39" s="26">
        <v>-40</v>
      </c>
      <c r="I39" s="26">
        <v>-28.72</v>
      </c>
      <c r="J39" s="26">
        <v>-10.1</v>
      </c>
      <c r="K39" s="26">
        <v>-30</v>
      </c>
      <c r="L39" s="26">
        <v>-40</v>
      </c>
      <c r="M39" s="24" t="s">
        <v>898</v>
      </c>
      <c r="N39" s="27"/>
    </row>
    <row r="40" spans="2:14" ht="33">
      <c r="B40" s="24" t="s">
        <v>894</v>
      </c>
      <c r="C40" s="24" t="s">
        <v>925</v>
      </c>
      <c r="D40" s="24" t="s">
        <v>993</v>
      </c>
      <c r="E40" s="26">
        <v>-41.78</v>
      </c>
      <c r="F40" s="26">
        <v>-41.75</v>
      </c>
      <c r="G40" s="26">
        <v>-40</v>
      </c>
      <c r="H40" s="26">
        <v>0</v>
      </c>
      <c r="I40" s="26">
        <v>-0.2</v>
      </c>
      <c r="J40" s="26">
        <v>-0.16</v>
      </c>
      <c r="K40" s="26">
        <v>-50</v>
      </c>
      <c r="L40" s="26">
        <v>-20</v>
      </c>
      <c r="M40" s="24" t="s">
        <v>898</v>
      </c>
      <c r="N40" s="27"/>
    </row>
    <row r="41" spans="2:14" ht="33">
      <c r="B41" s="24" t="s">
        <v>894</v>
      </c>
      <c r="C41" s="24" t="s">
        <v>926</v>
      </c>
      <c r="D41" s="24" t="s">
        <v>994</v>
      </c>
      <c r="E41" s="26">
        <v>10.32</v>
      </c>
      <c r="F41" s="26">
        <v>10.32</v>
      </c>
      <c r="G41" s="26">
        <v>-30</v>
      </c>
      <c r="H41" s="26">
        <v>-30</v>
      </c>
      <c r="I41" s="26">
        <v>-6.41</v>
      </c>
      <c r="J41" s="26">
        <v>-6.41</v>
      </c>
      <c r="K41" s="26">
        <v>280</v>
      </c>
      <c r="L41" s="26">
        <v>280</v>
      </c>
      <c r="M41" s="24" t="s">
        <v>927</v>
      </c>
      <c r="N41" s="27"/>
    </row>
    <row r="42" spans="2:14" ht="33">
      <c r="B42" s="24" t="s">
        <v>894</v>
      </c>
      <c r="C42" s="24" t="s">
        <v>926</v>
      </c>
      <c r="D42" s="24" t="s">
        <v>995</v>
      </c>
      <c r="E42" s="26">
        <v>16.46</v>
      </c>
      <c r="F42" s="26">
        <v>5.71</v>
      </c>
      <c r="G42" s="26">
        <v>-250</v>
      </c>
      <c r="H42" s="26">
        <v>-240</v>
      </c>
      <c r="I42" s="26">
        <v>22.84</v>
      </c>
      <c r="J42" s="26">
        <v>7.24</v>
      </c>
      <c r="K42" s="26">
        <v>-180</v>
      </c>
      <c r="L42" s="26">
        <v>-170</v>
      </c>
      <c r="M42" s="24" t="s">
        <v>898</v>
      </c>
      <c r="N42" s="27"/>
    </row>
    <row r="43" spans="2:14" ht="33">
      <c r="B43" s="24" t="s">
        <v>894</v>
      </c>
      <c r="C43" s="24" t="s">
        <v>928</v>
      </c>
      <c r="D43" s="24" t="s">
        <v>996</v>
      </c>
      <c r="E43" s="26">
        <v>15.51</v>
      </c>
      <c r="F43" s="26">
        <v>-17.57</v>
      </c>
      <c r="G43" s="26">
        <v>-40</v>
      </c>
      <c r="H43" s="26">
        <v>-30</v>
      </c>
      <c r="I43" s="26">
        <v>36.119999999999997</v>
      </c>
      <c r="J43" s="26">
        <v>16.899999999999999</v>
      </c>
      <c r="K43" s="26">
        <v>-20</v>
      </c>
      <c r="L43" s="26">
        <v>-20</v>
      </c>
      <c r="M43" s="24" t="s">
        <v>898</v>
      </c>
      <c r="N43" s="27"/>
    </row>
    <row r="44" spans="2:14" ht="33">
      <c r="B44" s="24" t="s">
        <v>894</v>
      </c>
      <c r="C44" s="24" t="s">
        <v>929</v>
      </c>
      <c r="D44" s="24" t="s">
        <v>997</v>
      </c>
      <c r="E44" s="26">
        <v>-14.9</v>
      </c>
      <c r="F44" s="26">
        <v>-24.86</v>
      </c>
      <c r="G44" s="26">
        <v>500</v>
      </c>
      <c r="H44" s="26">
        <v>500</v>
      </c>
      <c r="I44" s="26">
        <v>37.96</v>
      </c>
      <c r="J44" s="26">
        <v>9.0399999999999991</v>
      </c>
      <c r="K44" s="26">
        <v>-340</v>
      </c>
      <c r="L44" s="26">
        <v>-220</v>
      </c>
      <c r="M44" s="24" t="s">
        <v>901</v>
      </c>
      <c r="N44" s="27" t="s">
        <v>902</v>
      </c>
    </row>
    <row r="45" spans="2:14" ht="33">
      <c r="B45" s="24" t="s">
        <v>894</v>
      </c>
      <c r="C45" s="24" t="s">
        <v>930</v>
      </c>
      <c r="D45" s="24" t="s">
        <v>931</v>
      </c>
      <c r="E45" s="26">
        <v>-16.61</v>
      </c>
      <c r="F45" s="26">
        <v>-22.51</v>
      </c>
      <c r="G45" s="26">
        <v>-90</v>
      </c>
      <c r="H45" s="26">
        <v>-50</v>
      </c>
      <c r="I45" s="26">
        <v>0.53</v>
      </c>
      <c r="J45" s="26">
        <v>-0.67</v>
      </c>
      <c r="K45" s="26">
        <v>-1720</v>
      </c>
      <c r="L45" s="26">
        <v>-1670</v>
      </c>
      <c r="M45" s="24" t="s">
        <v>901</v>
      </c>
      <c r="N45" s="27" t="s">
        <v>902</v>
      </c>
    </row>
    <row r="46" spans="2:14" ht="33">
      <c r="B46" s="24" t="s">
        <v>894</v>
      </c>
      <c r="C46" s="24" t="s">
        <v>932</v>
      </c>
      <c r="D46" s="24" t="s">
        <v>998</v>
      </c>
      <c r="E46" s="26">
        <v>-19.72</v>
      </c>
      <c r="F46" s="26">
        <v>-11.5</v>
      </c>
      <c r="G46" s="26">
        <v>40</v>
      </c>
      <c r="H46" s="26">
        <v>10</v>
      </c>
      <c r="I46" s="26">
        <v>-16.11</v>
      </c>
      <c r="J46" s="26">
        <v>-7.28</v>
      </c>
      <c r="K46" s="26">
        <v>-420</v>
      </c>
      <c r="L46" s="26">
        <v>-430</v>
      </c>
      <c r="M46" s="24" t="s">
        <v>901</v>
      </c>
      <c r="N46" s="27" t="s">
        <v>908</v>
      </c>
    </row>
    <row r="47" spans="2:14" ht="33">
      <c r="B47" s="24" t="s">
        <v>894</v>
      </c>
      <c r="C47" s="24" t="s">
        <v>933</v>
      </c>
      <c r="D47" s="24" t="s">
        <v>999</v>
      </c>
      <c r="E47" s="26">
        <v>-8.8000000000000007</v>
      </c>
      <c r="F47" s="26">
        <v>-24.56</v>
      </c>
      <c r="G47" s="26">
        <v>0</v>
      </c>
      <c r="H47" s="26">
        <v>20</v>
      </c>
      <c r="I47" s="26">
        <v>29.45</v>
      </c>
      <c r="J47" s="26">
        <v>2.68</v>
      </c>
      <c r="K47" s="26">
        <v>-20</v>
      </c>
      <c r="L47" s="26">
        <v>0</v>
      </c>
      <c r="M47" s="24" t="s">
        <v>901</v>
      </c>
      <c r="N47" s="27" t="s">
        <v>902</v>
      </c>
    </row>
    <row r="48" spans="2:14" ht="33">
      <c r="B48" s="24" t="s">
        <v>894</v>
      </c>
      <c r="C48" s="24" t="s">
        <v>934</v>
      </c>
      <c r="D48" s="24" t="s">
        <v>1000</v>
      </c>
      <c r="E48" s="26">
        <v>-1.53</v>
      </c>
      <c r="F48" s="26">
        <v>-10.61</v>
      </c>
      <c r="G48" s="26">
        <v>-90</v>
      </c>
      <c r="H48" s="26">
        <v>30</v>
      </c>
      <c r="I48" s="26">
        <v>11.22</v>
      </c>
      <c r="J48" s="26">
        <v>5.89</v>
      </c>
      <c r="K48" s="26">
        <v>-130</v>
      </c>
      <c r="L48" s="26">
        <v>-40</v>
      </c>
      <c r="M48" s="24" t="s">
        <v>898</v>
      </c>
      <c r="N48" s="27"/>
    </row>
    <row r="49" spans="2:14" ht="33">
      <c r="B49" s="24" t="s">
        <v>894</v>
      </c>
      <c r="C49" s="24" t="s">
        <v>935</v>
      </c>
      <c r="D49" s="24" t="s">
        <v>1001</v>
      </c>
      <c r="E49" s="26"/>
      <c r="F49" s="26"/>
      <c r="G49" s="26"/>
      <c r="H49" s="26"/>
      <c r="I49" s="26">
        <v>-22.06</v>
      </c>
      <c r="J49" s="26">
        <v>-4.32</v>
      </c>
      <c r="K49" s="26">
        <v>-30</v>
      </c>
      <c r="L49" s="26">
        <v>-10</v>
      </c>
      <c r="M49" s="24" t="s">
        <v>901</v>
      </c>
      <c r="N49" s="27" t="s">
        <v>902</v>
      </c>
    </row>
    <row r="50" spans="2:14" ht="33">
      <c r="B50" s="24" t="s">
        <v>894</v>
      </c>
      <c r="C50" s="24" t="s">
        <v>935</v>
      </c>
      <c r="D50" s="24" t="s">
        <v>1002</v>
      </c>
      <c r="E50" s="26">
        <v>89.08</v>
      </c>
      <c r="F50" s="26">
        <v>43.86</v>
      </c>
      <c r="G50" s="26">
        <v>-20</v>
      </c>
      <c r="H50" s="26">
        <v>0</v>
      </c>
      <c r="I50" s="26">
        <v>77.900000000000006</v>
      </c>
      <c r="J50" s="26">
        <v>4.79</v>
      </c>
      <c r="K50" s="26">
        <v>-40</v>
      </c>
      <c r="L50" s="26">
        <v>360</v>
      </c>
      <c r="M50" s="24" t="s">
        <v>898</v>
      </c>
      <c r="N50" s="27"/>
    </row>
    <row r="51" spans="2:14" ht="33">
      <c r="B51" s="24" t="s">
        <v>894</v>
      </c>
      <c r="C51" s="24" t="s">
        <v>936</v>
      </c>
      <c r="D51" s="24" t="s">
        <v>1003</v>
      </c>
      <c r="E51" s="26">
        <v>-60.09</v>
      </c>
      <c r="F51" s="26">
        <v>-58.14</v>
      </c>
      <c r="G51" s="26">
        <v>-3080</v>
      </c>
      <c r="H51" s="26">
        <v>-3080</v>
      </c>
      <c r="I51" s="26">
        <v>0.12</v>
      </c>
      <c r="J51" s="26">
        <v>4.6399999999999997</v>
      </c>
      <c r="K51" s="26">
        <v>-620</v>
      </c>
      <c r="L51" s="26">
        <v>-610</v>
      </c>
      <c r="M51" s="24" t="s">
        <v>901</v>
      </c>
      <c r="N51" s="27" t="s">
        <v>902</v>
      </c>
    </row>
    <row r="52" spans="2:14" ht="33">
      <c r="B52" s="24" t="s">
        <v>894</v>
      </c>
      <c r="C52" s="24" t="s">
        <v>937</v>
      </c>
      <c r="D52" s="24" t="s">
        <v>1004</v>
      </c>
      <c r="E52" s="26">
        <v>31.36</v>
      </c>
      <c r="F52" s="26">
        <v>31.36</v>
      </c>
      <c r="G52" s="26">
        <v>4300</v>
      </c>
      <c r="H52" s="26">
        <v>4300</v>
      </c>
      <c r="I52" s="26">
        <v>4.82</v>
      </c>
      <c r="J52" s="26">
        <v>4.82</v>
      </c>
      <c r="K52" s="26">
        <v>-50</v>
      </c>
      <c r="L52" s="26">
        <v>-50</v>
      </c>
      <c r="M52" s="24" t="s">
        <v>901</v>
      </c>
      <c r="N52" s="27" t="s">
        <v>902</v>
      </c>
    </row>
    <row r="53" spans="2:14" ht="33">
      <c r="B53" s="24" t="s">
        <v>894</v>
      </c>
      <c r="C53" s="24" t="s">
        <v>937</v>
      </c>
      <c r="D53" s="24" t="s">
        <v>1005</v>
      </c>
      <c r="E53" s="26">
        <v>-19.54</v>
      </c>
      <c r="F53" s="26">
        <v>-56.87</v>
      </c>
      <c r="G53" s="26">
        <v>3630</v>
      </c>
      <c r="H53" s="26">
        <v>3690</v>
      </c>
      <c r="I53" s="26">
        <v>141.13</v>
      </c>
      <c r="J53" s="26">
        <v>8.99</v>
      </c>
      <c r="K53" s="26">
        <v>-640</v>
      </c>
      <c r="L53" s="26">
        <v>-500</v>
      </c>
      <c r="M53" s="24" t="s">
        <v>901</v>
      </c>
      <c r="N53" s="27" t="s">
        <v>902</v>
      </c>
    </row>
    <row r="54" spans="2:14" ht="33">
      <c r="B54" s="24" t="s">
        <v>894</v>
      </c>
      <c r="C54" s="24" t="s">
        <v>938</v>
      </c>
      <c r="D54" s="24" t="s">
        <v>1006</v>
      </c>
      <c r="E54" s="26">
        <v>48.24</v>
      </c>
      <c r="F54" s="26">
        <v>19.93</v>
      </c>
      <c r="G54" s="26">
        <v>-130</v>
      </c>
      <c r="H54" s="26">
        <v>-20</v>
      </c>
      <c r="I54" s="26">
        <v>0.65</v>
      </c>
      <c r="J54" s="26">
        <v>-21.69</v>
      </c>
      <c r="K54" s="26">
        <v>-120</v>
      </c>
      <c r="L54" s="26">
        <v>-120</v>
      </c>
      <c r="M54" s="24" t="s">
        <v>901</v>
      </c>
      <c r="N54" s="27" t="s">
        <v>902</v>
      </c>
    </row>
    <row r="55" spans="2:14" ht="33">
      <c r="B55" s="24" t="s">
        <v>894</v>
      </c>
      <c r="C55" s="24" t="s">
        <v>939</v>
      </c>
      <c r="D55" s="24" t="s">
        <v>1007</v>
      </c>
      <c r="E55" s="26">
        <v>-19.13</v>
      </c>
      <c r="F55" s="26">
        <v>-60.3</v>
      </c>
      <c r="G55" s="26">
        <v>-70</v>
      </c>
      <c r="H55" s="26">
        <v>-30</v>
      </c>
      <c r="I55" s="26">
        <v>64.52</v>
      </c>
      <c r="J55" s="26">
        <v>9.1300000000000008</v>
      </c>
      <c r="K55" s="26">
        <v>-160</v>
      </c>
      <c r="L55" s="26">
        <v>-110</v>
      </c>
      <c r="M55" s="24" t="s">
        <v>901</v>
      </c>
      <c r="N55" s="27" t="s">
        <v>902</v>
      </c>
    </row>
    <row r="56" spans="2:14" ht="33">
      <c r="B56" s="24" t="s">
        <v>940</v>
      </c>
      <c r="C56" s="24" t="s">
        <v>941</v>
      </c>
      <c r="D56" s="24" t="s">
        <v>1008</v>
      </c>
      <c r="E56" s="26">
        <v>718.64</v>
      </c>
      <c r="F56" s="26">
        <v>288.04000000000002</v>
      </c>
      <c r="G56" s="26">
        <v>-270</v>
      </c>
      <c r="H56" s="26">
        <v>-160</v>
      </c>
      <c r="I56" s="26">
        <v>109.1</v>
      </c>
      <c r="J56" s="26">
        <v>0.95</v>
      </c>
      <c r="K56" s="26">
        <v>-180</v>
      </c>
      <c r="L56" s="26">
        <v>40</v>
      </c>
      <c r="M56" s="24" t="s">
        <v>898</v>
      </c>
      <c r="N56" s="27"/>
    </row>
    <row r="57" spans="2:14" ht="33">
      <c r="B57" s="24" t="s">
        <v>940</v>
      </c>
      <c r="C57" s="24" t="s">
        <v>942</v>
      </c>
      <c r="D57" s="24" t="s">
        <v>1009</v>
      </c>
      <c r="E57" s="26">
        <v>23.21</v>
      </c>
      <c r="F57" s="26">
        <v>18.07</v>
      </c>
      <c r="G57" s="26">
        <v>60</v>
      </c>
      <c r="H57" s="26">
        <v>80</v>
      </c>
      <c r="I57" s="26">
        <v>-22.13</v>
      </c>
      <c r="J57" s="26">
        <v>-23.56</v>
      </c>
      <c r="K57" s="26">
        <v>-70</v>
      </c>
      <c r="L57" s="26">
        <v>-70</v>
      </c>
      <c r="M57" s="24" t="s">
        <v>901</v>
      </c>
      <c r="N57" s="27" t="s">
        <v>902</v>
      </c>
    </row>
    <row r="58" spans="2:14" ht="33">
      <c r="B58" s="24" t="s">
        <v>940</v>
      </c>
      <c r="C58" s="24" t="s">
        <v>943</v>
      </c>
      <c r="D58" s="24" t="s">
        <v>1010</v>
      </c>
      <c r="E58" s="26">
        <v>44.46</v>
      </c>
      <c r="F58" s="26">
        <v>-38.35</v>
      </c>
      <c r="G58" s="26">
        <v>-200</v>
      </c>
      <c r="H58" s="26">
        <v>40</v>
      </c>
      <c r="I58" s="26">
        <v>288.01</v>
      </c>
      <c r="J58" s="26">
        <v>54.18</v>
      </c>
      <c r="K58" s="26">
        <v>-520</v>
      </c>
      <c r="L58" s="26">
        <v>-140</v>
      </c>
      <c r="M58" s="24" t="s">
        <v>898</v>
      </c>
      <c r="N58" s="27"/>
    </row>
    <row r="59" spans="2:14" ht="33">
      <c r="B59" s="24" t="s">
        <v>940</v>
      </c>
      <c r="C59" s="24" t="s">
        <v>944</v>
      </c>
      <c r="D59" s="24" t="s">
        <v>1011</v>
      </c>
      <c r="E59" s="26">
        <v>81.709999999999994</v>
      </c>
      <c r="F59" s="26">
        <v>75.95</v>
      </c>
      <c r="G59" s="26">
        <v>-5420</v>
      </c>
      <c r="H59" s="26">
        <v>-5410</v>
      </c>
      <c r="I59" s="26">
        <v>8.16</v>
      </c>
      <c r="J59" s="26">
        <v>4</v>
      </c>
      <c r="K59" s="26">
        <v>-650</v>
      </c>
      <c r="L59" s="26">
        <v>-640</v>
      </c>
      <c r="M59" s="24" t="s">
        <v>896</v>
      </c>
      <c r="N59" s="27"/>
    </row>
    <row r="60" spans="2:14" ht="33">
      <c r="B60" s="24" t="s">
        <v>945</v>
      </c>
      <c r="C60" s="24" t="s">
        <v>946</v>
      </c>
      <c r="D60" s="24" t="s">
        <v>1012</v>
      </c>
      <c r="E60" s="26">
        <v>45.04</v>
      </c>
      <c r="F60" s="26">
        <v>-10.97</v>
      </c>
      <c r="G60" s="26">
        <v>-10</v>
      </c>
      <c r="H60" s="26">
        <v>30</v>
      </c>
      <c r="I60" s="26">
        <v>67.930000000000007</v>
      </c>
      <c r="J60" s="26">
        <v>16.05</v>
      </c>
      <c r="K60" s="26">
        <v>-20</v>
      </c>
      <c r="L60" s="26">
        <v>-10</v>
      </c>
      <c r="M60" s="24" t="s">
        <v>898</v>
      </c>
      <c r="N60" s="27"/>
    </row>
    <row r="61" spans="2:14" ht="33">
      <c r="B61" s="24" t="s">
        <v>945</v>
      </c>
      <c r="C61" s="24" t="s">
        <v>947</v>
      </c>
      <c r="D61" s="24" t="s">
        <v>1013</v>
      </c>
      <c r="E61" s="26">
        <v>12.1</v>
      </c>
      <c r="F61" s="26">
        <v>5.77</v>
      </c>
      <c r="G61" s="26">
        <v>-60</v>
      </c>
      <c r="H61" s="26">
        <v>-40</v>
      </c>
      <c r="I61" s="26">
        <v>8.73</v>
      </c>
      <c r="J61" s="26">
        <v>7.36</v>
      </c>
      <c r="K61" s="26">
        <v>-10</v>
      </c>
      <c r="L61" s="26">
        <v>10</v>
      </c>
      <c r="M61" s="24" t="s">
        <v>898</v>
      </c>
      <c r="N61" s="27"/>
    </row>
    <row r="62" spans="2:14" ht="33">
      <c r="B62" s="24" t="s">
        <v>945</v>
      </c>
      <c r="C62" s="24" t="s">
        <v>947</v>
      </c>
      <c r="D62" s="24" t="s">
        <v>1014</v>
      </c>
      <c r="E62" s="26">
        <v>65.53</v>
      </c>
      <c r="F62" s="26">
        <v>58.45</v>
      </c>
      <c r="G62" s="26">
        <v>-110</v>
      </c>
      <c r="H62" s="26">
        <v>-100</v>
      </c>
      <c r="I62" s="26">
        <v>43.19</v>
      </c>
      <c r="J62" s="26">
        <v>40.08</v>
      </c>
      <c r="K62" s="26">
        <v>-200</v>
      </c>
      <c r="L62" s="26">
        <v>-100</v>
      </c>
      <c r="M62" s="24" t="s">
        <v>901</v>
      </c>
      <c r="N62" s="27" t="s">
        <v>907</v>
      </c>
    </row>
    <row r="63" spans="2:14" ht="33">
      <c r="B63" s="24" t="s">
        <v>948</v>
      </c>
      <c r="C63" s="24" t="s">
        <v>949</v>
      </c>
      <c r="D63" s="24" t="s">
        <v>1015</v>
      </c>
      <c r="E63" s="26">
        <v>-11.65</v>
      </c>
      <c r="F63" s="26">
        <v>-76.739999999999995</v>
      </c>
      <c r="G63" s="26">
        <v>-110</v>
      </c>
      <c r="H63" s="26">
        <v>40</v>
      </c>
      <c r="I63" s="26">
        <v>257.44</v>
      </c>
      <c r="J63" s="26">
        <v>7.85</v>
      </c>
      <c r="K63" s="26">
        <v>-110</v>
      </c>
      <c r="L63" s="26">
        <v>-40</v>
      </c>
      <c r="M63" s="24" t="s">
        <v>901</v>
      </c>
      <c r="N63" s="27" t="s">
        <v>902</v>
      </c>
    </row>
    <row r="64" spans="2:14" ht="33">
      <c r="B64" s="24" t="s">
        <v>948</v>
      </c>
      <c r="C64" s="24" t="s">
        <v>950</v>
      </c>
      <c r="D64" s="24" t="s">
        <v>1020</v>
      </c>
      <c r="E64" s="26">
        <v>26.2</v>
      </c>
      <c r="F64" s="26">
        <v>-23.52</v>
      </c>
      <c r="G64" s="26">
        <v>-210</v>
      </c>
      <c r="H64" s="26">
        <v>-140</v>
      </c>
      <c r="I64" s="26">
        <v>82.45</v>
      </c>
      <c r="J64" s="26">
        <v>9.9600000000000009</v>
      </c>
      <c r="K64" s="26">
        <v>-230</v>
      </c>
      <c r="L64" s="26">
        <v>-160</v>
      </c>
      <c r="M64" s="24" t="s">
        <v>898</v>
      </c>
      <c r="N64" s="27"/>
    </row>
    <row r="65" spans="2:14" ht="33">
      <c r="B65" s="24" t="s">
        <v>948</v>
      </c>
      <c r="C65" s="24" t="s">
        <v>950</v>
      </c>
      <c r="D65" s="24" t="s">
        <v>1016</v>
      </c>
      <c r="E65" s="26">
        <v>-17.260000000000002</v>
      </c>
      <c r="F65" s="26">
        <v>-35.520000000000003</v>
      </c>
      <c r="G65" s="26">
        <v>-80</v>
      </c>
      <c r="H65" s="26">
        <v>-30</v>
      </c>
      <c r="I65" s="26">
        <v>38.9</v>
      </c>
      <c r="J65" s="26">
        <v>9.6999999999999993</v>
      </c>
      <c r="K65" s="26">
        <v>-140</v>
      </c>
      <c r="L65" s="26">
        <v>-20</v>
      </c>
      <c r="M65" s="24" t="s">
        <v>896</v>
      </c>
      <c r="N65" s="27"/>
    </row>
    <row r="66" spans="2:14" ht="33">
      <c r="B66" s="24" t="s">
        <v>948</v>
      </c>
      <c r="C66" s="24" t="s">
        <v>950</v>
      </c>
      <c r="D66" s="24" t="s">
        <v>1017</v>
      </c>
      <c r="E66" s="26">
        <v>11.09</v>
      </c>
      <c r="F66" s="26">
        <v>-27.29</v>
      </c>
      <c r="G66" s="26">
        <v>-320</v>
      </c>
      <c r="H66" s="26">
        <v>-270</v>
      </c>
      <c r="I66" s="26">
        <v>-25.07</v>
      </c>
      <c r="J66" s="26">
        <v>-50.4</v>
      </c>
      <c r="K66" s="26">
        <v>100</v>
      </c>
      <c r="L66" s="26">
        <v>150</v>
      </c>
      <c r="M66" s="24" t="s">
        <v>901</v>
      </c>
      <c r="N66" s="27" t="s">
        <v>907</v>
      </c>
    </row>
    <row r="67" spans="2:14" ht="33">
      <c r="B67" s="24" t="s">
        <v>951</v>
      </c>
      <c r="C67" s="24" t="s">
        <v>952</v>
      </c>
      <c r="D67" s="24" t="s">
        <v>1018</v>
      </c>
      <c r="E67" s="26">
        <v>-49.98</v>
      </c>
      <c r="F67" s="26">
        <v>-49.98</v>
      </c>
      <c r="G67" s="26">
        <v>0</v>
      </c>
      <c r="H67" s="26">
        <v>0</v>
      </c>
      <c r="I67" s="26">
        <v>-24.6</v>
      </c>
      <c r="J67" s="26">
        <v>-24.6</v>
      </c>
      <c r="K67" s="26">
        <v>370</v>
      </c>
      <c r="L67" s="26">
        <v>370</v>
      </c>
      <c r="M67" s="24" t="s">
        <v>901</v>
      </c>
      <c r="N67" s="27" t="s">
        <v>907</v>
      </c>
    </row>
    <row r="68" spans="2:14" ht="33">
      <c r="B68" s="24" t="s">
        <v>951</v>
      </c>
      <c r="C68" s="24" t="s">
        <v>953</v>
      </c>
      <c r="D68" s="24" t="s">
        <v>1019</v>
      </c>
      <c r="E68" s="26"/>
      <c r="F68" s="26"/>
      <c r="G68" s="26"/>
      <c r="H68" s="26"/>
      <c r="I68" s="26">
        <v>46.2</v>
      </c>
      <c r="J68" s="26">
        <v>19.16</v>
      </c>
      <c r="K68" s="26">
        <v>-370</v>
      </c>
      <c r="L68" s="26">
        <v>-130</v>
      </c>
      <c r="M68" s="24" t="s">
        <v>901</v>
      </c>
      <c r="N68" s="27" t="s">
        <v>902</v>
      </c>
    </row>
  </sheetData>
  <mergeCells count="11">
    <mergeCell ref="M2:M4"/>
    <mergeCell ref="N2:N4"/>
    <mergeCell ref="D2:D4"/>
    <mergeCell ref="C2:C4"/>
    <mergeCell ref="B2:B4"/>
    <mergeCell ref="E3:F3"/>
    <mergeCell ref="G3:H3"/>
    <mergeCell ref="E2:H2"/>
    <mergeCell ref="I2:L2"/>
    <mergeCell ref="I3:J3"/>
    <mergeCell ref="K3:L3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C57E-57B6-4B78-9F1E-D1AEF4C75320}">
  <dimension ref="B2:E6"/>
  <sheetViews>
    <sheetView workbookViewId="0">
      <selection activeCell="Q12" sqref="Q12"/>
    </sheetView>
  </sheetViews>
  <sheetFormatPr defaultRowHeight="16.5"/>
  <sheetData>
    <row r="2" spans="2:5">
      <c r="B2" t="s">
        <v>1021</v>
      </c>
      <c r="C2" t="s">
        <v>1022</v>
      </c>
      <c r="D2" t="s">
        <v>1023</v>
      </c>
      <c r="E2" t="s">
        <v>1024</v>
      </c>
    </row>
    <row r="3" spans="2:5">
      <c r="B3">
        <v>2023</v>
      </c>
      <c r="C3" t="s">
        <v>1025</v>
      </c>
      <c r="D3">
        <v>28.41</v>
      </c>
      <c r="E3">
        <v>25.22</v>
      </c>
    </row>
    <row r="4" spans="2:5">
      <c r="B4">
        <v>2023</v>
      </c>
      <c r="C4" t="s">
        <v>1026</v>
      </c>
      <c r="D4">
        <v>140</v>
      </c>
      <c r="E4">
        <v>80</v>
      </c>
    </row>
    <row r="5" spans="2:5">
      <c r="B5">
        <v>2024</v>
      </c>
      <c r="C5" t="s">
        <v>1025</v>
      </c>
      <c r="D5">
        <v>38.9</v>
      </c>
      <c r="E5">
        <v>9.76</v>
      </c>
    </row>
    <row r="6" spans="2:5">
      <c r="B6">
        <v>2024</v>
      </c>
      <c r="C6" t="s">
        <v>1026</v>
      </c>
      <c r="D6">
        <v>205</v>
      </c>
      <c r="E6">
        <v>155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종합통계</vt:lpstr>
      <vt:lpstr>비교결과</vt:lpstr>
      <vt:lpstr>상세_비교결과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kict</cp:lastModifiedBy>
  <dcterms:created xsi:type="dcterms:W3CDTF">2026-01-21T05:59:30Z</dcterms:created>
  <dcterms:modified xsi:type="dcterms:W3CDTF">2026-04-29T11:40:16Z</dcterms:modified>
</cp:coreProperties>
</file>