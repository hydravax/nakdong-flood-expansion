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01_업무폴더\(008)정보공개청구\2025\수문관측소일람표\2025기준\"/>
    </mc:Choice>
  </mc:AlternateContent>
  <xr:revisionPtr revIDLastSave="0" documentId="8_{3FB8B707-EC91-4FAB-A7A6-E628CEF03371}" xr6:coauthVersionLast="36" xr6:coauthVersionMax="36" xr10:uidLastSave="{00000000-0000-0000-0000-000000000000}"/>
  <bookViews>
    <workbookView xWindow="0" yWindow="0" windowWidth="28800" windowHeight="11850" tabRatio="590" xr2:uid="{00000000-000D-0000-FFFF-FFFF00000000}"/>
  </bookViews>
  <sheets>
    <sheet name="수위일람표" sheetId="1" r:id="rId1"/>
    <sheet name="홈페이지 표출 관리" sheetId="10" state="hidden" r:id="rId2"/>
  </sheets>
  <definedNames>
    <definedName name="_xlnm.Print_Area" localSheetId="0">수위일람표!$A$1:$V$298</definedName>
    <definedName name="_xlnm.Print_Titles" localSheetId="0">수위일람표!$A:$V,수위일람표!$1:$6</definedName>
  </definedNames>
  <calcPr calcId="191029"/>
</workbook>
</file>

<file path=xl/calcChain.xml><?xml version="1.0" encoding="utf-8"?>
<calcChain xmlns="http://schemas.openxmlformats.org/spreadsheetml/2006/main">
  <c r="S7" i="1" l="1"/>
  <c r="M7" i="1"/>
  <c r="K7" i="1"/>
  <c r="S22" i="1" l="1"/>
  <c r="S25" i="1"/>
  <c r="S27" i="1"/>
  <c r="S29" i="1"/>
  <c r="S32" i="1"/>
  <c r="S33" i="1"/>
  <c r="S34" i="1"/>
  <c r="S35" i="1"/>
  <c r="S36" i="1"/>
  <c r="S37" i="1"/>
  <c r="S39" i="1"/>
  <c r="S40" i="1"/>
  <c r="S43" i="1"/>
  <c r="S44" i="1"/>
  <c r="S45" i="1"/>
  <c r="S48" i="1"/>
  <c r="S49" i="1"/>
  <c r="S50" i="1"/>
  <c r="S51" i="1"/>
  <c r="S52" i="1"/>
  <c r="S53" i="1"/>
  <c r="S55" i="1"/>
  <c r="S56" i="1"/>
  <c r="S57" i="1"/>
  <c r="S59" i="1"/>
  <c r="S60" i="1"/>
  <c r="S61" i="1"/>
  <c r="S62" i="1"/>
  <c r="S63" i="1"/>
  <c r="S64" i="1"/>
  <c r="S65" i="1"/>
  <c r="S66" i="1"/>
  <c r="S68" i="1"/>
  <c r="S69" i="1"/>
  <c r="S70" i="1"/>
  <c r="S71" i="1"/>
  <c r="S72" i="1"/>
  <c r="S73" i="1"/>
  <c r="S74" i="1"/>
  <c r="S75" i="1"/>
  <c r="S76" i="1"/>
  <c r="S77" i="1"/>
  <c r="S78" i="1"/>
  <c r="S80" i="1"/>
  <c r="S81" i="1"/>
  <c r="S82" i="1"/>
  <c r="S83" i="1"/>
  <c r="S84" i="1"/>
  <c r="S85" i="1"/>
  <c r="S86" i="1"/>
  <c r="S87" i="1"/>
  <c r="S89" i="1"/>
  <c r="S91" i="1"/>
  <c r="S92" i="1"/>
  <c r="S94" i="1"/>
  <c r="S96" i="1"/>
  <c r="S97" i="1"/>
  <c r="S98" i="1"/>
  <c r="S99" i="1"/>
  <c r="S100" i="1"/>
  <c r="S101" i="1"/>
  <c r="S104" i="1"/>
  <c r="S108" i="1"/>
  <c r="S109" i="1"/>
  <c r="S110" i="1"/>
  <c r="S113" i="1"/>
  <c r="S116" i="1"/>
  <c r="S118" i="1"/>
  <c r="S119" i="1"/>
  <c r="S120" i="1"/>
  <c r="S121" i="1"/>
  <c r="S122" i="1"/>
  <c r="S127" i="1"/>
  <c r="S128" i="1"/>
  <c r="S130" i="1"/>
  <c r="S134" i="1"/>
  <c r="S135" i="1"/>
  <c r="S136" i="1"/>
  <c r="S138" i="1"/>
  <c r="S139" i="1"/>
  <c r="S140" i="1"/>
  <c r="S141" i="1"/>
  <c r="S143" i="1"/>
  <c r="S144" i="1"/>
  <c r="S145" i="1"/>
  <c r="S146" i="1"/>
  <c r="S148" i="1"/>
  <c r="S149" i="1"/>
  <c r="S150" i="1"/>
  <c r="S151" i="1"/>
  <c r="S152" i="1"/>
  <c r="S154" i="1"/>
  <c r="S155" i="1"/>
  <c r="S156" i="1"/>
  <c r="S157" i="1"/>
  <c r="S159" i="1"/>
  <c r="S160" i="1"/>
  <c r="S161" i="1"/>
  <c r="S162" i="1"/>
  <c r="S163" i="1"/>
  <c r="S164" i="1"/>
  <c r="S165" i="1"/>
  <c r="S166" i="1"/>
  <c r="S167" i="1"/>
  <c r="S169" i="1"/>
  <c r="S171" i="1"/>
  <c r="S172" i="1"/>
  <c r="S174" i="1"/>
  <c r="S175" i="1"/>
  <c r="S176" i="1"/>
  <c r="S177" i="1"/>
  <c r="S178" i="1"/>
  <c r="S180" i="1"/>
  <c r="S181" i="1"/>
  <c r="S182" i="1"/>
  <c r="S185" i="1"/>
  <c r="S186" i="1"/>
  <c r="S188" i="1"/>
  <c r="S189" i="1"/>
  <c r="S190" i="1"/>
  <c r="S191" i="1"/>
  <c r="S192" i="1"/>
  <c r="S193" i="1"/>
  <c r="S194" i="1"/>
  <c r="S195" i="1"/>
  <c r="S196" i="1"/>
  <c r="S197" i="1"/>
  <c r="S198" i="1"/>
  <c r="S201" i="1"/>
  <c r="S202" i="1"/>
  <c r="S203" i="1"/>
  <c r="S204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2" i="1"/>
  <c r="S226" i="1"/>
  <c r="S227" i="1"/>
  <c r="S228" i="1"/>
  <c r="S232" i="1"/>
  <c r="S233" i="1"/>
  <c r="S234" i="1"/>
  <c r="S235" i="1"/>
  <c r="S236" i="1"/>
  <c r="S239" i="1"/>
  <c r="S242" i="1"/>
  <c r="S243" i="1"/>
  <c r="S245" i="1"/>
  <c r="S246" i="1"/>
  <c r="S249" i="1"/>
  <c r="S250" i="1"/>
  <c r="S251" i="1"/>
  <c r="S252" i="1"/>
  <c r="S253" i="1"/>
  <c r="S254" i="1"/>
  <c r="S256" i="1"/>
  <c r="S257" i="1"/>
  <c r="S259" i="1"/>
  <c r="S261" i="1"/>
  <c r="S262" i="1"/>
  <c r="S264" i="1"/>
  <c r="S265" i="1"/>
  <c r="S266" i="1"/>
  <c r="S268" i="1"/>
  <c r="S269" i="1"/>
  <c r="S271" i="1"/>
  <c r="S272" i="1"/>
  <c r="S273" i="1"/>
  <c r="S274" i="1"/>
  <c r="S277" i="1"/>
  <c r="S279" i="1"/>
  <c r="S281" i="1"/>
  <c r="S282" i="1"/>
  <c r="S285" i="1"/>
  <c r="S286" i="1"/>
  <c r="S221" i="1"/>
  <c r="S293" i="1"/>
  <c r="S223" i="1"/>
  <c r="S295" i="1"/>
  <c r="S112" i="1"/>
  <c r="S114" i="1"/>
  <c r="S237" i="1"/>
  <c r="S241" i="1"/>
  <c r="S255" i="1"/>
  <c r="S238" i="1"/>
  <c r="S95" i="1"/>
  <c r="S90" i="1"/>
  <c r="S107" i="1"/>
  <c r="S115" i="1"/>
  <c r="S111" i="1"/>
  <c r="S133" i="1"/>
  <c r="S244" i="1"/>
  <c r="S131" i="1"/>
  <c r="S270" i="1"/>
  <c r="S224" i="1"/>
  <c r="S263" i="1"/>
  <c r="S124" i="1"/>
  <c r="S153" i="1"/>
  <c r="S147" i="1"/>
  <c r="S125" i="1"/>
  <c r="S132" i="1"/>
  <c r="S126" i="1"/>
  <c r="S123" i="1"/>
  <c r="S129" i="1"/>
  <c r="S229" i="1"/>
  <c r="S258" i="1"/>
  <c r="S225" i="1"/>
  <c r="S230" i="1"/>
  <c r="S292" i="1"/>
  <c r="S158" i="1"/>
  <c r="S200" i="1"/>
  <c r="S290" i="1"/>
  <c r="S291" i="1"/>
  <c r="S289" i="1"/>
  <c r="S206" i="1"/>
  <c r="S288" i="1"/>
  <c r="S183" i="1"/>
  <c r="S179" i="1"/>
  <c r="S184" i="1"/>
  <c r="S294" i="1"/>
  <c r="S296" i="1"/>
  <c r="S199" i="1"/>
  <c r="S187" i="1"/>
  <c r="S168" i="1"/>
  <c r="S267" i="1"/>
  <c r="S287" i="1"/>
  <c r="S248" i="1"/>
  <c r="S231" i="1"/>
  <c r="S247" i="1"/>
  <c r="S260" i="1"/>
  <c r="S170" i="1"/>
  <c r="S275" i="1"/>
  <c r="S276" i="1"/>
  <c r="S278" i="1"/>
  <c r="S30" i="1"/>
  <c r="S12" i="1"/>
  <c r="S47" i="1"/>
  <c r="S46" i="1"/>
  <c r="S19" i="1"/>
  <c r="S16" i="1"/>
  <c r="S15" i="1"/>
  <c r="S17" i="1"/>
  <c r="S24" i="1"/>
  <c r="S14" i="1"/>
  <c r="S26" i="1"/>
  <c r="S28" i="1"/>
  <c r="S23" i="1"/>
  <c r="S79" i="1"/>
  <c r="S173" i="1"/>
  <c r="S117" i="1"/>
  <c r="S142" i="1"/>
  <c r="S93" i="1"/>
  <c r="S88" i="1"/>
  <c r="S54" i="1"/>
  <c r="S58" i="1"/>
  <c r="S137" i="1"/>
  <c r="S102" i="1"/>
  <c r="S103" i="1"/>
  <c r="S280" i="1"/>
  <c r="S106" i="1"/>
  <c r="S38" i="1"/>
  <c r="S41" i="1"/>
  <c r="S42" i="1"/>
  <c r="S67" i="1"/>
  <c r="S205" i="1"/>
  <c r="S20" i="1"/>
  <c r="S284" i="1"/>
  <c r="S105" i="1"/>
  <c r="S240" i="1"/>
  <c r="S283" i="1"/>
  <c r="S207" i="1"/>
  <c r="S11" i="1"/>
  <c r="S13" i="1"/>
  <c r="S31" i="1"/>
  <c r="S18" i="1"/>
  <c r="S21" i="1"/>
  <c r="S9" i="1"/>
  <c r="S10" i="1"/>
  <c r="S8" i="1"/>
  <c r="M223" i="1" l="1"/>
  <c r="M295" i="1"/>
  <c r="M112" i="1"/>
  <c r="M114" i="1"/>
  <c r="M237" i="1"/>
  <c r="M241" i="1"/>
  <c r="M255" i="1"/>
  <c r="M238" i="1"/>
  <c r="M95" i="1"/>
  <c r="M90" i="1"/>
  <c r="M107" i="1"/>
  <c r="M115" i="1"/>
  <c r="M111" i="1"/>
  <c r="M133" i="1"/>
  <c r="M244" i="1"/>
  <c r="M131" i="1"/>
  <c r="M270" i="1"/>
  <c r="M224" i="1"/>
  <c r="M263" i="1"/>
  <c r="M124" i="1"/>
  <c r="M153" i="1"/>
  <c r="M147" i="1"/>
  <c r="M125" i="1"/>
  <c r="M132" i="1"/>
  <c r="M126" i="1"/>
  <c r="M123" i="1"/>
  <c r="M129" i="1"/>
  <c r="M229" i="1"/>
  <c r="M258" i="1"/>
  <c r="M225" i="1"/>
  <c r="M230" i="1"/>
  <c r="M292" i="1"/>
  <c r="M158" i="1"/>
  <c r="M200" i="1"/>
  <c r="M290" i="1"/>
  <c r="M291" i="1"/>
  <c r="M289" i="1"/>
  <c r="M206" i="1"/>
  <c r="M288" i="1"/>
  <c r="M183" i="1"/>
  <c r="M179" i="1"/>
  <c r="M184" i="1"/>
  <c r="M294" i="1"/>
  <c r="M296" i="1"/>
  <c r="M199" i="1"/>
  <c r="M187" i="1"/>
  <c r="M168" i="1"/>
  <c r="M267" i="1"/>
  <c r="M287" i="1"/>
  <c r="M248" i="1"/>
  <c r="M231" i="1"/>
  <c r="M247" i="1"/>
  <c r="M260" i="1"/>
  <c r="M170" i="1"/>
  <c r="M275" i="1"/>
  <c r="M276" i="1"/>
  <c r="M278" i="1"/>
  <c r="M30" i="1"/>
  <c r="M12" i="1"/>
  <c r="M47" i="1"/>
  <c r="M46" i="1"/>
  <c r="M19" i="1"/>
  <c r="M16" i="1"/>
  <c r="M15" i="1"/>
  <c r="M17" i="1"/>
  <c r="M24" i="1"/>
  <c r="M14" i="1"/>
  <c r="M26" i="1"/>
  <c r="M28" i="1"/>
  <c r="M23" i="1"/>
  <c r="M79" i="1"/>
  <c r="M173" i="1"/>
  <c r="M117" i="1"/>
  <c r="M142" i="1"/>
  <c r="M93" i="1"/>
  <c r="M88" i="1"/>
  <c r="M54" i="1"/>
  <c r="M58" i="1"/>
  <c r="M137" i="1"/>
  <c r="M102" i="1"/>
  <c r="M103" i="1"/>
  <c r="M280" i="1"/>
  <c r="M106" i="1"/>
  <c r="M38" i="1"/>
  <c r="M41" i="1"/>
  <c r="M42" i="1"/>
  <c r="M67" i="1"/>
  <c r="M205" i="1"/>
  <c r="M20" i="1"/>
  <c r="M284" i="1"/>
  <c r="M105" i="1"/>
  <c r="M240" i="1"/>
  <c r="M283" i="1"/>
  <c r="M207" i="1"/>
  <c r="M221" i="1"/>
  <c r="M293" i="1"/>
  <c r="K293" i="1"/>
  <c r="K223" i="1"/>
  <c r="K295" i="1"/>
  <c r="K112" i="1"/>
  <c r="K114" i="1"/>
  <c r="K237" i="1"/>
  <c r="K241" i="1"/>
  <c r="K255" i="1"/>
  <c r="K238" i="1"/>
  <c r="K95" i="1"/>
  <c r="K90" i="1"/>
  <c r="K107" i="1"/>
  <c r="K115" i="1"/>
  <c r="K111" i="1"/>
  <c r="K133" i="1"/>
  <c r="K244" i="1"/>
  <c r="K131" i="1"/>
  <c r="K270" i="1"/>
  <c r="K224" i="1"/>
  <c r="K263" i="1"/>
  <c r="K124" i="1"/>
  <c r="K153" i="1"/>
  <c r="K147" i="1"/>
  <c r="K125" i="1"/>
  <c r="K132" i="1"/>
  <c r="K126" i="1"/>
  <c r="K123" i="1"/>
  <c r="K129" i="1"/>
  <c r="K229" i="1"/>
  <c r="K258" i="1"/>
  <c r="K225" i="1"/>
  <c r="K230" i="1"/>
  <c r="K292" i="1"/>
  <c r="K158" i="1"/>
  <c r="K200" i="1"/>
  <c r="K290" i="1"/>
  <c r="K291" i="1"/>
  <c r="K289" i="1"/>
  <c r="K206" i="1"/>
  <c r="K288" i="1"/>
  <c r="K183" i="1"/>
  <c r="K179" i="1"/>
  <c r="K184" i="1"/>
  <c r="K294" i="1"/>
  <c r="K296" i="1"/>
  <c r="K199" i="1"/>
  <c r="K187" i="1"/>
  <c r="K168" i="1"/>
  <c r="K267" i="1"/>
  <c r="K287" i="1"/>
  <c r="K248" i="1"/>
  <c r="K231" i="1"/>
  <c r="K247" i="1"/>
  <c r="K260" i="1"/>
  <c r="K170" i="1"/>
  <c r="K275" i="1"/>
  <c r="K276" i="1"/>
  <c r="K278" i="1"/>
  <c r="K30" i="1"/>
  <c r="K12" i="1"/>
  <c r="K47" i="1"/>
  <c r="K46" i="1"/>
  <c r="K19" i="1"/>
  <c r="K16" i="1"/>
  <c r="K15" i="1"/>
  <c r="K17" i="1"/>
  <c r="K24" i="1"/>
  <c r="K14" i="1"/>
  <c r="K26" i="1"/>
  <c r="K28" i="1"/>
  <c r="K23" i="1"/>
  <c r="K79" i="1"/>
  <c r="K173" i="1"/>
  <c r="K117" i="1"/>
  <c r="K142" i="1"/>
  <c r="K93" i="1"/>
  <c r="K88" i="1"/>
  <c r="K54" i="1"/>
  <c r="K58" i="1"/>
  <c r="K137" i="1"/>
  <c r="K102" i="1"/>
  <c r="K103" i="1"/>
  <c r="K280" i="1"/>
  <c r="K106" i="1"/>
  <c r="K38" i="1"/>
  <c r="K41" i="1"/>
  <c r="K42" i="1"/>
  <c r="K67" i="1"/>
  <c r="K205" i="1"/>
  <c r="K20" i="1"/>
  <c r="K284" i="1"/>
  <c r="K105" i="1"/>
  <c r="K240" i="1"/>
  <c r="K283" i="1"/>
  <c r="K207" i="1"/>
  <c r="K221" i="1"/>
  <c r="M227" i="1" l="1"/>
  <c r="K227" i="1"/>
  <c r="M286" i="1" l="1"/>
  <c r="K286" i="1"/>
  <c r="A167" i="10" l="1"/>
  <c r="A109" i="10"/>
  <c r="A6" i="10"/>
  <c r="A136" i="10"/>
  <c r="A150" i="10"/>
  <c r="A94" i="10"/>
  <c r="A32" i="10"/>
  <c r="A30" i="10"/>
  <c r="A56" i="10"/>
  <c r="A105" i="10"/>
  <c r="A107" i="10"/>
  <c r="A102" i="10"/>
  <c r="A103" i="10"/>
  <c r="A133" i="10"/>
  <c r="A135" i="10"/>
  <c r="A134" i="10"/>
  <c r="A76" i="10"/>
  <c r="A78" i="10"/>
  <c r="A79" i="10"/>
  <c r="A77" i="10"/>
  <c r="A124" i="10"/>
  <c r="A125" i="10"/>
  <c r="A132" i="10"/>
  <c r="A126" i="10"/>
  <c r="A130" i="10"/>
  <c r="A131" i="10"/>
  <c r="A128" i="10"/>
  <c r="A123" i="10"/>
  <c r="A129" i="10"/>
  <c r="A127" i="10"/>
  <c r="A122" i="10"/>
  <c r="A168" i="10"/>
  <c r="A7" i="10"/>
  <c r="A5" i="10"/>
  <c r="A8" i="10"/>
  <c r="A10" i="10"/>
  <c r="A11" i="10"/>
  <c r="A13" i="10"/>
  <c r="A9" i="10"/>
  <c r="A74" i="10"/>
  <c r="A38" i="10"/>
  <c r="A75" i="10"/>
  <c r="A100" i="10"/>
  <c r="A99" i="10"/>
  <c r="A101" i="10"/>
  <c r="A37" i="10"/>
  <c r="A62" i="10"/>
  <c r="A63" i="10"/>
  <c r="A61" i="10"/>
  <c r="A60" i="10"/>
  <c r="A65" i="10"/>
  <c r="A59" i="10"/>
  <c r="A64" i="10"/>
  <c r="A162" i="10"/>
  <c r="A12" i="10"/>
  <c r="A36" i="10"/>
  <c r="A161" i="10"/>
  <c r="A66" i="10"/>
  <c r="A160" i="10"/>
  <c r="A159" i="10"/>
  <c r="A174" i="10"/>
  <c r="A172" i="10"/>
  <c r="A169" i="10"/>
  <c r="A157" i="10"/>
  <c r="A67" i="10"/>
  <c r="A139" i="10"/>
  <c r="A170" i="10"/>
  <c r="A171" i="10"/>
  <c r="A142" i="10"/>
  <c r="A137" i="10"/>
  <c r="A156" i="10"/>
  <c r="A155" i="10"/>
  <c r="A153" i="10"/>
  <c r="A154" i="10"/>
  <c r="A173" i="10"/>
  <c r="A20" i="10"/>
  <c r="A81" i="10"/>
  <c r="A82" i="10"/>
  <c r="A80" i="10"/>
  <c r="A175" i="10"/>
  <c r="A140" i="10"/>
  <c r="A141" i="10"/>
  <c r="A158" i="10"/>
  <c r="A138" i="10"/>
  <c r="A180" i="10"/>
  <c r="A183" i="10"/>
  <c r="A177" i="10"/>
  <c r="A178" i="10"/>
  <c r="A2" i="10"/>
  <c r="A182" i="10"/>
  <c r="A181" i="10"/>
  <c r="A179" i="10"/>
  <c r="A41" i="10"/>
  <c r="A50" i="10"/>
  <c r="A16" i="10"/>
  <c r="A43" i="10"/>
  <c r="A14" i="10"/>
  <c r="A46" i="10"/>
  <c r="A17" i="10"/>
  <c r="A18" i="10"/>
  <c r="A19" i="10"/>
  <c r="A15" i="10"/>
  <c r="A176" i="10"/>
  <c r="A95" i="10"/>
  <c r="A91" i="10"/>
  <c r="A45" i="10"/>
  <c r="A40" i="10"/>
  <c r="A49" i="10"/>
  <c r="A47" i="10"/>
  <c r="A42" i="10"/>
  <c r="A44" i="10"/>
  <c r="A51" i="10"/>
  <c r="A52" i="10"/>
  <c r="A48" i="10"/>
  <c r="A4" i="10"/>
  <c r="A3" i="10"/>
  <c r="A73" i="10"/>
  <c r="A110" i="10"/>
  <c r="A113" i="10"/>
  <c r="A112" i="10"/>
  <c r="A111" i="10"/>
  <c r="A39" i="10"/>
  <c r="A92" i="10"/>
  <c r="A93" i="10"/>
  <c r="A165" i="10"/>
  <c r="A164" i="10"/>
  <c r="A163" i="10"/>
  <c r="A21" i="10"/>
  <c r="A25" i="10"/>
  <c r="A24" i="10"/>
  <c r="A34" i="10"/>
  <c r="A33" i="10"/>
  <c r="A35" i="10"/>
  <c r="A23" i="10"/>
  <c r="A22" i="10"/>
  <c r="A26" i="10"/>
  <c r="A144" i="10"/>
  <c r="A145" i="10"/>
  <c r="A149" i="10"/>
  <c r="A147" i="10"/>
  <c r="A27" i="10"/>
  <c r="A31" i="10"/>
  <c r="A29" i="10"/>
  <c r="A151" i="10"/>
  <c r="A148" i="10"/>
  <c r="A146" i="10"/>
  <c r="A28" i="10"/>
  <c r="A143" i="10"/>
  <c r="A83" i="10"/>
  <c r="A86" i="10"/>
  <c r="A85" i="10"/>
  <c r="A118" i="10"/>
  <c r="A58" i="10"/>
  <c r="A55" i="10"/>
  <c r="A89" i="10"/>
  <c r="A90" i="10"/>
  <c r="A87" i="10"/>
  <c r="A84" i="10"/>
  <c r="A88" i="10"/>
  <c r="A54" i="10"/>
  <c r="A57" i="10"/>
  <c r="A53" i="10"/>
  <c r="A117" i="10"/>
  <c r="A121" i="10"/>
  <c r="A120" i="10"/>
  <c r="A119" i="10"/>
  <c r="A114" i="10"/>
  <c r="A116" i="10"/>
  <c r="A106" i="10"/>
  <c r="A108" i="10"/>
  <c r="A71" i="10"/>
  <c r="A152" i="10"/>
  <c r="A115" i="10"/>
  <c r="A98" i="10"/>
  <c r="A96" i="10"/>
  <c r="A97" i="10"/>
  <c r="A104" i="10"/>
  <c r="A70" i="10"/>
  <c r="A72" i="10"/>
  <c r="A68" i="10"/>
  <c r="A69" i="10"/>
  <c r="A166" i="10"/>
  <c r="M285" i="1" l="1"/>
  <c r="K285" i="1"/>
  <c r="K8" i="1" l="1"/>
  <c r="M8" i="1"/>
  <c r="K9" i="1"/>
  <c r="M9" i="1"/>
  <c r="K10" i="1"/>
  <c r="M10" i="1"/>
  <c r="K11" i="1"/>
  <c r="M11" i="1"/>
  <c r="K13" i="1"/>
  <c r="M13" i="1"/>
  <c r="K31" i="1"/>
  <c r="M31" i="1"/>
  <c r="K18" i="1"/>
  <c r="M18" i="1"/>
  <c r="K21" i="1"/>
  <c r="M21" i="1"/>
  <c r="K22" i="1"/>
  <c r="M22" i="1"/>
  <c r="K25" i="1"/>
  <c r="M25" i="1"/>
  <c r="K27" i="1"/>
  <c r="M27" i="1"/>
  <c r="K29" i="1"/>
  <c r="M29" i="1"/>
  <c r="K36" i="1"/>
  <c r="M36" i="1"/>
  <c r="K37" i="1"/>
  <c r="M37" i="1"/>
  <c r="K39" i="1"/>
  <c r="M39" i="1"/>
  <c r="K40" i="1"/>
  <c r="M40" i="1"/>
  <c r="K43" i="1"/>
  <c r="M43" i="1"/>
  <c r="K44" i="1"/>
  <c r="M44" i="1"/>
  <c r="K45" i="1"/>
  <c r="M45" i="1"/>
  <c r="K48" i="1"/>
  <c r="M48" i="1"/>
  <c r="K50" i="1"/>
  <c r="M50" i="1"/>
  <c r="K52" i="1"/>
  <c r="M52" i="1"/>
  <c r="K53" i="1"/>
  <c r="M53" i="1"/>
  <c r="K55" i="1"/>
  <c r="M55" i="1"/>
  <c r="K56" i="1"/>
  <c r="M56" i="1"/>
  <c r="K57" i="1"/>
  <c r="M57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8" i="1"/>
  <c r="M78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9" i="1"/>
  <c r="M89" i="1"/>
  <c r="K91" i="1"/>
  <c r="M91" i="1"/>
  <c r="K92" i="1"/>
  <c r="M92" i="1"/>
  <c r="K94" i="1"/>
  <c r="M94" i="1"/>
  <c r="K96" i="1"/>
  <c r="M96" i="1"/>
  <c r="K97" i="1"/>
  <c r="M97" i="1"/>
  <c r="K98" i="1"/>
  <c r="M98" i="1"/>
  <c r="K99" i="1"/>
  <c r="M99" i="1"/>
  <c r="K100" i="1"/>
  <c r="M100" i="1"/>
  <c r="K101" i="1"/>
  <c r="M101" i="1"/>
  <c r="K104" i="1"/>
  <c r="M104" i="1"/>
  <c r="K108" i="1"/>
  <c r="M108" i="1"/>
  <c r="K109" i="1"/>
  <c r="M109" i="1"/>
  <c r="K110" i="1"/>
  <c r="M110" i="1"/>
  <c r="K113" i="1"/>
  <c r="M113" i="1"/>
  <c r="K116" i="1"/>
  <c r="M116" i="1"/>
  <c r="K118" i="1"/>
  <c r="M118" i="1"/>
  <c r="K119" i="1"/>
  <c r="M119" i="1"/>
  <c r="K120" i="1"/>
  <c r="M120" i="1"/>
  <c r="K121" i="1"/>
  <c r="M121" i="1"/>
  <c r="K122" i="1"/>
  <c r="M122" i="1"/>
  <c r="K127" i="1"/>
  <c r="M127" i="1"/>
  <c r="K128" i="1"/>
  <c r="M128" i="1"/>
  <c r="K130" i="1"/>
  <c r="M130" i="1"/>
  <c r="K134" i="1"/>
  <c r="M134" i="1"/>
  <c r="K135" i="1"/>
  <c r="M135" i="1"/>
  <c r="K136" i="1"/>
  <c r="M136" i="1"/>
  <c r="K138" i="1"/>
  <c r="M138" i="1"/>
  <c r="K139" i="1"/>
  <c r="M139" i="1"/>
  <c r="K141" i="1"/>
  <c r="M141" i="1"/>
  <c r="K143" i="1"/>
  <c r="M143" i="1"/>
  <c r="K144" i="1"/>
  <c r="M144" i="1"/>
  <c r="K145" i="1"/>
  <c r="M145" i="1"/>
  <c r="K146" i="1"/>
  <c r="M146" i="1"/>
  <c r="K148" i="1"/>
  <c r="M148" i="1"/>
  <c r="K149" i="1"/>
  <c r="M149" i="1"/>
  <c r="K150" i="1"/>
  <c r="M150" i="1"/>
  <c r="K151" i="1"/>
  <c r="M151" i="1"/>
  <c r="K152" i="1"/>
  <c r="M152" i="1"/>
  <c r="K154" i="1"/>
  <c r="M154" i="1"/>
  <c r="K155" i="1"/>
  <c r="M155" i="1"/>
  <c r="K156" i="1"/>
  <c r="M156" i="1"/>
  <c r="K157" i="1"/>
  <c r="M157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9" i="1"/>
  <c r="M169" i="1"/>
  <c r="K171" i="1"/>
  <c r="M171" i="1"/>
  <c r="K172" i="1"/>
  <c r="M172" i="1"/>
  <c r="K174" i="1"/>
  <c r="M174" i="1"/>
  <c r="K176" i="1"/>
  <c r="M176" i="1"/>
  <c r="K177" i="1"/>
  <c r="M177" i="1"/>
  <c r="K178" i="1"/>
  <c r="M178" i="1"/>
  <c r="K180" i="1"/>
  <c r="M180" i="1"/>
  <c r="K181" i="1"/>
  <c r="M181" i="1"/>
  <c r="K182" i="1"/>
  <c r="M182" i="1"/>
  <c r="K185" i="1"/>
  <c r="M185" i="1"/>
  <c r="K186" i="1"/>
  <c r="M186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201" i="1"/>
  <c r="M201" i="1"/>
  <c r="K202" i="1"/>
  <c r="M202" i="1"/>
  <c r="K203" i="1"/>
  <c r="M203" i="1"/>
  <c r="K204" i="1"/>
  <c r="M204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7" i="1"/>
  <c r="M217" i="1"/>
  <c r="K218" i="1"/>
  <c r="M218" i="1"/>
  <c r="K220" i="1"/>
  <c r="M220" i="1"/>
  <c r="K222" i="1"/>
  <c r="M222" i="1"/>
  <c r="K226" i="1"/>
  <c r="M226" i="1"/>
  <c r="K228" i="1"/>
  <c r="M228" i="1"/>
  <c r="K233" i="1"/>
  <c r="M233" i="1"/>
  <c r="K234" i="1"/>
  <c r="M234" i="1"/>
  <c r="K236" i="1"/>
  <c r="M236" i="1"/>
  <c r="K239" i="1"/>
  <c r="M239" i="1"/>
  <c r="K242" i="1"/>
  <c r="M242" i="1"/>
  <c r="K243" i="1"/>
  <c r="M243" i="1"/>
  <c r="K245" i="1"/>
  <c r="M245" i="1"/>
  <c r="K246" i="1"/>
  <c r="M246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6" i="1"/>
  <c r="M256" i="1"/>
  <c r="K257" i="1"/>
  <c r="M257" i="1"/>
  <c r="K259" i="1"/>
  <c r="M259" i="1"/>
  <c r="K261" i="1"/>
  <c r="M261" i="1"/>
  <c r="K262" i="1"/>
  <c r="M262" i="1"/>
  <c r="K265" i="1"/>
  <c r="M265" i="1"/>
  <c r="K266" i="1"/>
  <c r="M266" i="1"/>
  <c r="K268" i="1"/>
  <c r="M268" i="1"/>
  <c r="M35" i="1" l="1"/>
  <c r="M51" i="1"/>
  <c r="M32" i="1"/>
  <c r="M49" i="1"/>
  <c r="M77" i="1"/>
  <c r="M76" i="1"/>
  <c r="M140" i="1"/>
  <c r="M87" i="1"/>
  <c r="M175" i="1"/>
  <c r="M33" i="1"/>
  <c r="K33" i="1"/>
  <c r="K175" i="1"/>
  <c r="K87" i="1"/>
  <c r="K140" i="1"/>
  <c r="K76" i="1"/>
  <c r="K77" i="1"/>
  <c r="K49" i="1"/>
  <c r="K32" i="1"/>
  <c r="K51" i="1"/>
  <c r="K35" i="1"/>
  <c r="K281" i="1" l="1"/>
  <c r="M281" i="1"/>
  <c r="M279" i="1" l="1"/>
  <c r="K279" i="1"/>
  <c r="M277" i="1"/>
  <c r="K277" i="1"/>
  <c r="M273" i="1"/>
  <c r="K273" i="1"/>
  <c r="M272" i="1"/>
  <c r="K272" i="1"/>
  <c r="M271" i="1"/>
  <c r="K27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업무망</author>
  </authors>
  <commentList>
    <comment ref="P31" authorId="0" shapeId="0" xr:uid="{14FBC9AF-B2FD-47A4-933A-103246D0042B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
184.120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1" authorId="0" shapeId="0" xr:uid="{42FB0A41-EBF7-4E93-97FE-AA0A3C7EE266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 188.775</t>
        </r>
      </text>
    </comment>
    <comment ref="P70" authorId="0" shapeId="0" xr:uid="{F0E53D56-7C72-48AE-9AFB-A7267DC9C374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
58.167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70" authorId="0" shapeId="0" xr:uid="{AF9832A4-8D46-4AE6-A67E-21A99ADDF50F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 65.151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71" authorId="0" shapeId="0" xr:uid="{44CFA014-668F-46D8-8985-E0FE3D96C0EA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
44.806</t>
        </r>
      </text>
    </comment>
    <comment ref="Q71" authorId="0" shapeId="0" xr:uid="{EB4C0A8E-A59E-473F-BEB4-93DB4D245813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 56.484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78" authorId="0" shapeId="0" xr:uid="{9E4A5687-7BCF-4FB1-AFCB-E60E70B05F42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
48.292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78" authorId="0" shapeId="0" xr:uid="{FB995254-B6C1-49C7-B7E9-38453FA8AB5A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 58.588</t>
        </r>
      </text>
    </comment>
    <comment ref="P80" authorId="0" shapeId="0" xr:uid="{C94E7333-A419-4C39-94D0-C7042968613F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
38.897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80" authorId="0" shapeId="0" xr:uid="{23741F77-4077-4D11-9FE0-AF527AC6CC58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 52.374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84" authorId="0" shapeId="0" xr:uid="{8CA55763-4A89-4B7B-8F51-6AFA5AA1D26B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
0.000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84" authorId="0" shapeId="0" xr:uid="{44A75145-C7E5-439A-9C83-15C993EF161C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 33.000</t>
        </r>
      </text>
    </comment>
    <comment ref="P89" authorId="0" shapeId="0" xr:uid="{215F0354-1BBF-438A-A3E7-6EB95C0DC44E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
58.909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89" authorId="0" shapeId="0" xr:uid="{2699ECDF-9CBB-497D-AE7D-6EABEB7B4235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 66.362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91" authorId="0" shapeId="0" xr:uid="{936F5A0C-6245-4DFA-8613-8FDBCEDD2C7B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
47.967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91" authorId="0" shapeId="0" xr:uid="{6F8DB210-5829-4DA7-AB6F-99CCF1AC71ED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 58.569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16" authorId="0" shapeId="0" xr:uid="{63C1ED0C-753B-4ECD-92DA-0F871032A7C4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
190.553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16" authorId="0" shapeId="0" xr:uid="{9A03B738-93B8-4806-BC9C-0331DF58BA27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 203.168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41" authorId="0" shapeId="0" xr:uid="{8D0DCCB2-1ED8-4E09-8980-3409BF8F5BDE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
101.155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41" authorId="0" shapeId="0" xr:uid="{83A7FAC3-445F-47BE-87FD-D30ADEC88343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 107.860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45" authorId="0" shapeId="0" xr:uid="{581E1045-F091-4680-9F0E-842633E3B669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
12.791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45" authorId="0" shapeId="0" xr:uid="{2C419195-E3F0-42E2-940C-7951831CD4D5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 23.780</t>
        </r>
      </text>
    </comment>
    <comment ref="P161" authorId="0" shapeId="0" xr:uid="{F08FA446-4DBD-4F99-A2C3-014A281402E5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
15.597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61" authorId="0" shapeId="0" xr:uid="{E08CFD32-7906-4D5C-A5A5-3A289EF22A01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 27.298</t>
        </r>
      </text>
    </comment>
    <comment ref="P164" authorId="0" shapeId="0" xr:uid="{6B420DEE-6A44-45E1-A8DF-A408C5C6627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
6.757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64" authorId="0" shapeId="0" xr:uid="{B7A52CE9-4BE8-449F-974E-BE707423F9D9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 22.320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66" authorId="0" shapeId="0" xr:uid="{93F1A430-B797-4493-BF5F-5F17F18CF31C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
-5.181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66" authorId="0" shapeId="0" xr:uid="{C47BDAA4-8691-4427-BB3D-FECAA5A764F2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 19.903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67" authorId="0" shapeId="0" xr:uid="{8CFA66A4-0605-4E28-B025-90C18EEB1248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
20.887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67" authorId="0" shapeId="0" xr:uid="{09071B4A-4926-4A5D-87E9-F4A91C3344B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 28.293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69" authorId="0" shapeId="0" xr:uid="{BC308878-9E9D-4B65-8BE5-9EE79250C476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
189.356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69" authorId="0" shapeId="0" xr:uid="{0D4602F9-54FD-4998-B7A5-1694F25655CC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 194.413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71" authorId="0" shapeId="0" xr:uid="{331A3203-767B-49E0-9001-5AC47411DC1E}">
      <text>
        <r>
          <rPr>
            <b/>
            <sz val="9"/>
            <color indexed="81"/>
            <rFont val="돋움"/>
            <family val="3"/>
            <charset val="129"/>
          </rPr>
          <t>고읍교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이설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이설전</t>
        </r>
        <r>
          <rPr>
            <b/>
            <sz val="9"/>
            <color indexed="81"/>
            <rFont val="Tahoma"/>
            <family val="2"/>
          </rPr>
          <t>)
(</t>
        </r>
        <r>
          <rPr>
            <b/>
            <sz val="9"/>
            <color indexed="81"/>
            <rFont val="돋움"/>
            <family val="3"/>
            <charset val="129"/>
          </rPr>
          <t>수준점</t>
        </r>
        <r>
          <rPr>
            <b/>
            <sz val="9"/>
            <color indexed="81"/>
            <rFont val="Tahoma"/>
            <family val="2"/>
          </rPr>
          <t>) 117.876
(</t>
        </r>
        <r>
          <rPr>
            <b/>
            <sz val="9"/>
            <color indexed="81"/>
            <rFont val="돋움"/>
            <family val="3"/>
            <charset val="129"/>
          </rPr>
          <t>영점표고</t>
        </r>
        <r>
          <rPr>
            <b/>
            <sz val="9"/>
            <color indexed="81"/>
            <rFont val="Tahoma"/>
            <family val="2"/>
          </rPr>
          <t>) 106.710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85" authorId="0" shapeId="0" xr:uid="{DDD8138E-32ED-4BC1-BF0D-01F8CBACAC7E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 8.792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85" authorId="0" shapeId="0" xr:uid="{8EB436B1-40BF-48AE-A763-7BF065577D33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 16.669</t>
        </r>
      </text>
    </comment>
    <comment ref="P195" authorId="0" shapeId="0" xr:uid="{2AD89A97-A7C0-4B39-8976-09D2146FB4F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
0.000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95" authorId="0" shapeId="0" xr:uid="{0EDDD27C-6AD7-4F83-9D06-AA06FA69AC85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 13.583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0" authorId="0" shapeId="0" xr:uid="{74997EA7-225F-46A7-B55C-4CDB132B89E6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
15.319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50" authorId="0" shapeId="0" xr:uid="{9BA0BBC4-6233-45FF-AB6F-AFD0F50BB49C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 23.904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6" authorId="0" shapeId="0" xr:uid="{BBD79D0B-235B-4140-86D2-170FF8CADE95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
16.626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56" authorId="0" shapeId="0" xr:uid="{162ECC2A-A667-4F55-9DAC-715B7125A5B1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>) 26.675</t>
        </r>
      </text>
    </comment>
    <comment ref="P261" authorId="0" shapeId="0" xr:uid="{8E871934-0A17-4477-8BF7-B9A435217F79}">
      <text>
        <r>
          <rPr>
            <b/>
            <sz val="9"/>
            <color indexed="81"/>
            <rFont val="돋움"/>
            <family val="3"/>
            <charset val="129"/>
          </rPr>
          <t>업무망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주수위표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</text>
    </comment>
  </commentList>
</comments>
</file>

<file path=xl/sharedStrings.xml><?xml version="1.0" encoding="utf-8"?>
<sst xmlns="http://schemas.openxmlformats.org/spreadsheetml/2006/main" count="4818" uniqueCount="2316">
  <si>
    <t>일련</t>
  </si>
  <si>
    <t>관측소</t>
  </si>
  <si>
    <t>관측소명</t>
  </si>
  <si>
    <t>수 계 명</t>
  </si>
  <si>
    <t>하 천 명</t>
  </si>
  <si>
    <t xml:space="preserve">
조 석 영향</t>
  </si>
  <si>
    <t>수위표영점</t>
  </si>
  <si>
    <t>영 점 표 고</t>
  </si>
  <si>
    <t>수 위 표</t>
  </si>
  <si>
    <t>유량측정</t>
  </si>
  <si>
    <t>유역면적</t>
  </si>
  <si>
    <t>번호</t>
  </si>
  <si>
    <t>코 드</t>
  </si>
  <si>
    <t>경     도</t>
  </si>
  <si>
    <t>(유, 무)</t>
  </si>
  <si>
    <t>표      고</t>
  </si>
  <si>
    <t>검정수준점
표고</t>
  </si>
  <si>
    <t xml:space="preserve">최고독수
</t>
  </si>
  <si>
    <t xml:space="preserve">(유, 무)
</t>
  </si>
  <si>
    <t>등급</t>
  </si>
  <si>
    <t>Stage</t>
  </si>
  <si>
    <t>Type of</t>
  </si>
  <si>
    <t>Beginning
of
Observation</t>
  </si>
  <si>
    <t>Tidal
Influence</t>
  </si>
  <si>
    <t>Elevation of Datum (m)</t>
  </si>
  <si>
    <t>Elevation
of B.M
(m)</t>
  </si>
  <si>
    <t>Possible
Gauge
Reading
(m)</t>
  </si>
  <si>
    <t>Discharge
Measurement</t>
  </si>
  <si>
    <t>Drainage Area
(㎢)</t>
  </si>
  <si>
    <t>Distance from
(km)</t>
  </si>
  <si>
    <t>Grade of 
Gauging Station</t>
  </si>
  <si>
    <t>Station
Code</t>
  </si>
  <si>
    <t>River</t>
  </si>
  <si>
    <t>Transmission</t>
  </si>
  <si>
    <t>Address</t>
  </si>
  <si>
    <t>Longitude</t>
  </si>
  <si>
    <t>Latitude</t>
  </si>
  <si>
    <t>VHF/M2M</t>
  </si>
  <si>
    <t>무</t>
  </si>
  <si>
    <t>최적(A)</t>
  </si>
  <si>
    <t>부자식</t>
  </si>
  <si>
    <t>유</t>
  </si>
  <si>
    <t>송천</t>
  </si>
  <si>
    <t>우수(B)</t>
  </si>
  <si>
    <t>신천</t>
  </si>
  <si>
    <t>장성</t>
  </si>
  <si>
    <t>낙동강</t>
  </si>
  <si>
    <t>황지천</t>
  </si>
  <si>
    <t>분천2</t>
  </si>
  <si>
    <t>회룡천</t>
  </si>
  <si>
    <t>레이더</t>
  </si>
  <si>
    <t>분천</t>
  </si>
  <si>
    <t>-</t>
  </si>
  <si>
    <t>운곡</t>
  </si>
  <si>
    <t>운곡천</t>
  </si>
  <si>
    <t>신구</t>
  </si>
  <si>
    <t>반변천</t>
  </si>
  <si>
    <t>길안</t>
  </si>
  <si>
    <t>길안천</t>
  </si>
  <si>
    <t>대사</t>
  </si>
  <si>
    <t>운산</t>
  </si>
  <si>
    <t>미천</t>
  </si>
  <si>
    <t>구담</t>
  </si>
  <si>
    <t>지보</t>
  </si>
  <si>
    <t>봉화</t>
  </si>
  <si>
    <t>내성천</t>
  </si>
  <si>
    <t>월호</t>
  </si>
  <si>
    <t>서천</t>
  </si>
  <si>
    <t>조제</t>
  </si>
  <si>
    <t>미호</t>
  </si>
  <si>
    <t>월포</t>
  </si>
  <si>
    <t>예천</t>
  </si>
  <si>
    <t>한천</t>
  </si>
  <si>
    <t>죽전</t>
  </si>
  <si>
    <t>향석</t>
  </si>
  <si>
    <t>산양</t>
  </si>
  <si>
    <t>금천</t>
  </si>
  <si>
    <t>갈마</t>
  </si>
  <si>
    <t>영강</t>
  </si>
  <si>
    <t>점촌</t>
  </si>
  <si>
    <t>이안</t>
  </si>
  <si>
    <t>이안천</t>
  </si>
  <si>
    <t>부자식/수정식</t>
  </si>
  <si>
    <t>위천</t>
  </si>
  <si>
    <t>병천</t>
  </si>
  <si>
    <t>효령</t>
  </si>
  <si>
    <t>남천</t>
  </si>
  <si>
    <t>수정식</t>
  </si>
  <si>
    <t>무성</t>
  </si>
  <si>
    <t>비안2</t>
  </si>
  <si>
    <t>용곡</t>
  </si>
  <si>
    <t>낙동</t>
  </si>
  <si>
    <t>부자식/레이더/수정식</t>
  </si>
  <si>
    <t>일선교</t>
  </si>
  <si>
    <t>36-16-23</t>
  </si>
  <si>
    <t>지품</t>
  </si>
  <si>
    <t>감천</t>
  </si>
  <si>
    <t>김천</t>
  </si>
  <si>
    <t>부자식/레이더</t>
  </si>
  <si>
    <t>동부</t>
  </si>
  <si>
    <t>선산</t>
  </si>
  <si>
    <t>양포교</t>
  </si>
  <si>
    <t>구미</t>
  </si>
  <si>
    <t>왜관</t>
  </si>
  <si>
    <t>성주</t>
  </si>
  <si>
    <t>선원</t>
  </si>
  <si>
    <t>백천</t>
  </si>
  <si>
    <t>단포교</t>
  </si>
  <si>
    <t>자호천</t>
  </si>
  <si>
    <t>금호강</t>
  </si>
  <si>
    <t>서부</t>
  </si>
  <si>
    <t>신령천</t>
  </si>
  <si>
    <t>금호</t>
  </si>
  <si>
    <t>도천</t>
  </si>
  <si>
    <t>압량</t>
  </si>
  <si>
    <t>오목천</t>
  </si>
  <si>
    <t>하양</t>
  </si>
  <si>
    <t>대평</t>
  </si>
  <si>
    <t>동호</t>
  </si>
  <si>
    <t>동촌</t>
  </si>
  <si>
    <t>동변</t>
  </si>
  <si>
    <t>동화천</t>
  </si>
  <si>
    <t>산격</t>
  </si>
  <si>
    <t>침산</t>
  </si>
  <si>
    <t>성서</t>
  </si>
  <si>
    <t>128-28-18</t>
  </si>
  <si>
    <t>죽곡</t>
  </si>
  <si>
    <t>창천</t>
  </si>
  <si>
    <t>대가천</t>
  </si>
  <si>
    <t>화죽</t>
  </si>
  <si>
    <t>화죽천</t>
  </si>
  <si>
    <t>야로</t>
  </si>
  <si>
    <t>가야천</t>
  </si>
  <si>
    <t>쌍림</t>
  </si>
  <si>
    <t>안림천</t>
  </si>
  <si>
    <t>고령</t>
  </si>
  <si>
    <t>회천</t>
  </si>
  <si>
    <t>개진1</t>
  </si>
  <si>
    <t>개진2</t>
  </si>
  <si>
    <t>화원</t>
  </si>
  <si>
    <t>고령교</t>
  </si>
  <si>
    <t>현풍</t>
  </si>
  <si>
    <t>대암</t>
  </si>
  <si>
    <t>이방</t>
  </si>
  <si>
    <t>죽고</t>
  </si>
  <si>
    <t>황강</t>
  </si>
  <si>
    <t>적포교</t>
  </si>
  <si>
    <t>35-31-39</t>
  </si>
  <si>
    <t>감암</t>
  </si>
  <si>
    <t>신반천</t>
  </si>
  <si>
    <t>마수원</t>
  </si>
  <si>
    <t>세간</t>
  </si>
  <si>
    <t>유곡천</t>
  </si>
  <si>
    <t>안의2</t>
  </si>
  <si>
    <t>남강</t>
  </si>
  <si>
    <t>생초</t>
  </si>
  <si>
    <t>단성</t>
  </si>
  <si>
    <t>두문</t>
  </si>
  <si>
    <t>영천강</t>
  </si>
  <si>
    <t>대산</t>
  </si>
  <si>
    <t>대곡</t>
  </si>
  <si>
    <t>덕곡</t>
  </si>
  <si>
    <t>지수</t>
  </si>
  <si>
    <t>의령</t>
  </si>
  <si>
    <t>의령천</t>
  </si>
  <si>
    <t>정암</t>
  </si>
  <si>
    <t>윤내</t>
  </si>
  <si>
    <t>함안천</t>
  </si>
  <si>
    <t>거룡강</t>
  </si>
  <si>
    <t>판곡</t>
  </si>
  <si>
    <t>청도천</t>
  </si>
  <si>
    <t>장마</t>
  </si>
  <si>
    <t>계성천</t>
  </si>
  <si>
    <t>진동</t>
  </si>
  <si>
    <t>128-29-01</t>
  </si>
  <si>
    <t>덕남</t>
  </si>
  <si>
    <t>광려천</t>
  </si>
  <si>
    <t>임해진</t>
  </si>
  <si>
    <t>부곡</t>
  </si>
  <si>
    <t>수산</t>
  </si>
  <si>
    <t>부자식/리드식</t>
  </si>
  <si>
    <t>마사</t>
  </si>
  <si>
    <t>화포천</t>
  </si>
  <si>
    <t>청도</t>
  </si>
  <si>
    <t>상동</t>
  </si>
  <si>
    <t>밀양강</t>
  </si>
  <si>
    <t>금곡</t>
  </si>
  <si>
    <t>단장천</t>
  </si>
  <si>
    <t>삼문</t>
  </si>
  <si>
    <t>밀양2</t>
  </si>
  <si>
    <t>화성</t>
  </si>
  <si>
    <t>삼랑진</t>
  </si>
  <si>
    <t>월촌</t>
  </si>
  <si>
    <t>소토</t>
  </si>
  <si>
    <t>양산천</t>
  </si>
  <si>
    <t>양산</t>
  </si>
  <si>
    <t>가산</t>
  </si>
  <si>
    <t>구포</t>
  </si>
  <si>
    <t>정천</t>
  </si>
  <si>
    <t>서낙동강</t>
  </si>
  <si>
    <t>조만강</t>
  </si>
  <si>
    <t>배동</t>
  </si>
  <si>
    <t>형산강</t>
  </si>
  <si>
    <t>효현</t>
  </si>
  <si>
    <t>대천</t>
  </si>
  <si>
    <t>경상북도 경주시 효현동 1125-31(효현교)</t>
  </si>
  <si>
    <t>경주2</t>
  </si>
  <si>
    <t>모아</t>
  </si>
  <si>
    <t>기계2</t>
  </si>
  <si>
    <t>기계천</t>
  </si>
  <si>
    <t>안강</t>
  </si>
  <si>
    <t>부조</t>
  </si>
  <si>
    <t>포항</t>
  </si>
  <si>
    <t>언양</t>
  </si>
  <si>
    <t>태화강</t>
  </si>
  <si>
    <t>조동</t>
  </si>
  <si>
    <t>구영</t>
  </si>
  <si>
    <t>삼호</t>
  </si>
  <si>
    <t>울산</t>
  </si>
  <si>
    <t>병영</t>
  </si>
  <si>
    <t>동천</t>
  </si>
  <si>
    <t>석천</t>
  </si>
  <si>
    <t>회야강</t>
  </si>
  <si>
    <t>망양</t>
  </si>
  <si>
    <t>온산</t>
  </si>
  <si>
    <t>인량</t>
  </si>
  <si>
    <t>영덕</t>
  </si>
  <si>
    <t>영덕오십천</t>
  </si>
  <si>
    <t>129-22-24</t>
  </si>
  <si>
    <t>경상북도 봉화군 명호면 도천리 1378 (도천교)</t>
  </si>
  <si>
    <t>경상북도 영양군 입암면 신구리 704 (청암교)</t>
  </si>
  <si>
    <t>경상북도 안동시 길안면 묵계리 1127-85 ((구)묵계교)</t>
  </si>
  <si>
    <t>경상북도 안동시 길안면 대사리 785 (대사3교)</t>
  </si>
  <si>
    <t>경상북도 안동시 일직면 운산리 166-2</t>
  </si>
  <si>
    <t>경상북도 예천군 지보면 암천리 708 (구담교)</t>
  </si>
  <si>
    <t>경상북도 의성군 다인면 용곡리 764 (풍지교)</t>
  </si>
  <si>
    <t>경상북도 봉화군 봉화읍 내성리 506 (봉화대교)</t>
  </si>
  <si>
    <t>경상북도 영주시 문수면 적동리 738 (월호교)</t>
  </si>
  <si>
    <t>경상북도 영주시 문수면 조제리 1136 (석탑교)</t>
  </si>
  <si>
    <t>경상북도 예천군 보문면 미호리 401 (미호교)</t>
  </si>
  <si>
    <t>경상북도 예천군 호명면 월포리 624 (고평교)</t>
  </si>
  <si>
    <t>경상북도 예천군 개포면 신음리 545</t>
  </si>
  <si>
    <t>경상북도 예천군 용궁면 대은리 950 (회룡교)</t>
  </si>
  <si>
    <t>경상북도 예천군 용궁면 읍부리 508 (산양교)</t>
  </si>
  <si>
    <t>경상북도 문경시 가은읍 갈전리 1014-1 (갈마교)</t>
  </si>
  <si>
    <t>경상북도 상주시 이안면 이안리 493-1 (이안교)</t>
  </si>
  <si>
    <t>경상북도 군위군 효령면 병수리 703</t>
  </si>
  <si>
    <t>경상북도 군위군 효령면 중구리 725-1 (효령교)</t>
  </si>
  <si>
    <t>경상북도 의성군 비안면 장춘리 965-1(동부교)</t>
  </si>
  <si>
    <t>경상북도 의성군 단밀면 낙정리 806 (낙단교)</t>
  </si>
  <si>
    <t>경상북도 구미시 도개면 신림리 775 (일선교)</t>
  </si>
  <si>
    <t>경상북도 김천시 구성면 상원리 234-21 (지품교)</t>
  </si>
  <si>
    <t>경상북도 김천시 개령면 서부리 669-1 (대동교)</t>
  </si>
  <si>
    <t>경상북도 구미시 선산읍 화조리 581-6 (선주교)</t>
  </si>
  <si>
    <t>경상북도 구미시 임수동 550-1 (구미대교)</t>
  </si>
  <si>
    <t>경상북도 칠곡군 왜관읍 석전리 872  (호국의다리)</t>
  </si>
  <si>
    <t>경상북도 성주군 선남면 선원리 5-3 (성주대교)</t>
  </si>
  <si>
    <t>경상북도 영천시 고경면 단포리 407-144 (단포교)</t>
  </si>
  <si>
    <t>경상북도 영천시 완산동 1269-1 (영동교)</t>
  </si>
  <si>
    <t>경상북도 영천시 쌍계동 504-1 (영양교)</t>
  </si>
  <si>
    <t>경상북도 영천시 금호읍 교대리 661 (금창교)</t>
  </si>
  <si>
    <t>경상북도 봉화군 명호면 풍호리 산174</t>
  </si>
  <si>
    <t>경상북도 경산시 압량면 부적리 698 (압량교)</t>
  </si>
  <si>
    <t>경상북도 경산시 하양읍 환상리 768-1 (금호3교 하류)</t>
  </si>
  <si>
    <t>대구광역시 수성구 성동 566-1 (성동교)</t>
  </si>
  <si>
    <t>대구광역시 동구 동호동 340-1 (안심교)</t>
  </si>
  <si>
    <t>대구광역시 동구 불로동 1107-1 (보성2차APT앞)</t>
  </si>
  <si>
    <t>대구광역시 북구 서변동 1630-1 (동화교)</t>
  </si>
  <si>
    <t>대구광역시 북구 서변동 1630-1 (산격대교)</t>
  </si>
  <si>
    <t>대구광역시 북구 산격동 1519-1 (성북교)</t>
  </si>
  <si>
    <t>대구광역시 달서구 파호동 460 (강창교)</t>
  </si>
  <si>
    <t>대구광역시 달성군 다사읍 매곡리 1171 (강정취수장 상류)</t>
  </si>
  <si>
    <t>경상북도 성주군 가천면 창천리 1242-1 (가천교)</t>
  </si>
  <si>
    <t>경상남도 합천군 야로면 구정리 269-1</t>
  </si>
  <si>
    <t>경상북도 고령군 쌍림면 매촌리 463-1 (귀원교)</t>
  </si>
  <si>
    <t>경상북도 고령군 고령읍 장기리 331 (회천교)</t>
  </si>
  <si>
    <t>경상북도 고령군 우곡면 사촌리 899-1</t>
  </si>
  <si>
    <t>경상북도 고령군 우곡면 야정리 971 (도진교)</t>
  </si>
  <si>
    <t>대구광역시 달성군 화원읍 성산리 744-11 (사문진교)</t>
  </si>
  <si>
    <t>경상북도 고령군 성산면 삼대리 112-3 (고령교)</t>
  </si>
  <si>
    <t>대구광역시 달성군 현풍면 성하리 274 (현풍휴게소뒤)</t>
  </si>
  <si>
    <t>대구광역시 달성군 구지면 내리 774-5</t>
  </si>
  <si>
    <t>경상남도 합천군 덕곡면 율지리 1 (율지교)</t>
  </si>
  <si>
    <t>경상남도 합천군 적중면 죽고리 922-1 (황강교)</t>
  </si>
  <si>
    <t>경상남도 합천군 청덕면 앙진리 1 (적포교)</t>
  </si>
  <si>
    <t>경상남도 의령군 부림면 대곡리 996 (대곡교)</t>
  </si>
  <si>
    <t>경상남도 의령군 유곡면 세간리 29-4 (세간교)</t>
  </si>
  <si>
    <t>경상남도 함양군 안의면 금천리 254-1 (안의교)</t>
  </si>
  <si>
    <t>경상남도 산청군 단성면 묵곡리 140-11 (묵곡교)</t>
  </si>
  <si>
    <t>경상남도 고성군 영오면 오서리 1611-1 (두문교)</t>
  </si>
  <si>
    <t>경상남도 진주시 집현면 덕오리 22-2</t>
  </si>
  <si>
    <t>경상남도 진주시 진성면 가진리 1718  (월강교)</t>
  </si>
  <si>
    <t>경상남도 진주시 지수면 청담리 1684-1 (장박교)</t>
  </si>
  <si>
    <t>경상남도 의령군 의령읍 정암리 430-43 ((구)정암교)</t>
  </si>
  <si>
    <t>경상남도 의령군 지정면 성산리 1106-4</t>
  </si>
  <si>
    <t>경상남도 밀양시 무안면 죽월리 672-1 (판곡교)</t>
  </si>
  <si>
    <t>경상남도 창녕군 장마면 강리 1085-1 (화영삼거리 부근)</t>
  </si>
  <si>
    <t>경상남도 함안군 칠서면 계내리 343 (진동양수장옆)</t>
  </si>
  <si>
    <t>경상남도 함안군 칠북면 덕남리 328-4 (소랑교)</t>
  </si>
  <si>
    <t>경상남도 창녕군 부곡면 청암리 1110 (청암취수장옆)</t>
  </si>
  <si>
    <t>경상남도 밀양시 초동면 오방리 682 (인교)</t>
  </si>
  <si>
    <t>경상남도 창원시 의창구 대산면 모산리 701 (수산대교)</t>
  </si>
  <si>
    <t>경상남도 김해시 한림면 금곡리 1015 (오서교)</t>
  </si>
  <si>
    <t>경상북도 청도군 청도읍 원리 988-1</t>
  </si>
  <si>
    <t>경상남도 밀양시 상동면 옥산리 141-2 (상동교)</t>
  </si>
  <si>
    <t>경상남도 밀양시 산외면 금곡리 83-8 (금곡교 하류)</t>
  </si>
  <si>
    <t>경상남도 밀양시 용평동 963 (활성교 상류)</t>
  </si>
  <si>
    <t>경상남도 밀양시 삼문동 377 (남천교)</t>
  </si>
  <si>
    <t>경상남도 밀양시 남포동 408</t>
  </si>
  <si>
    <t>경상남도 밀양시 삼랑진읍 미전리 894-15 (삼상교)</t>
  </si>
  <si>
    <t>경상남도 밀양시 삼랑진읍 삼랑리 854 (삼랑진교)</t>
  </si>
  <si>
    <t>경상남도 김해시 대동면 월촌리 988</t>
  </si>
  <si>
    <t>경상남도 양산시 상북면 소토리 1287-47 (효충교)</t>
  </si>
  <si>
    <t>경상남도 양산시 신기동 600 (양산교)</t>
  </si>
  <si>
    <t>경상남도 양산시 물금읍 증산리 136-4 (호포대교)</t>
  </si>
  <si>
    <t>부산광역시 북구 구포동 1065-1 (구포대교)</t>
  </si>
  <si>
    <t>경상남도 김해시 명법동 1118 (정천교)</t>
  </si>
  <si>
    <t>경상북도 경주시 서악동 1491-1 (서천교)</t>
  </si>
  <si>
    <t>경상북도 경주시 천북면 모아리 848</t>
  </si>
  <si>
    <t>경상북도 경주시 안강읍 노당리 1503 (달성교)</t>
  </si>
  <si>
    <t>경상북도 경주시 강동면 오금리 1046-1 (강동대교)</t>
  </si>
  <si>
    <t>경상북도 경주시 강동면 국당리 산92</t>
  </si>
  <si>
    <t>경상북도 포항시 남구 해도동 229 ((신)형산교)</t>
  </si>
  <si>
    <t>울산광역시 남구 무거동 1035-1 (삼호교)</t>
  </si>
  <si>
    <t>울산광역시 중구 성남동 337 (태화교)</t>
  </si>
  <si>
    <t>울산광역시 북구 진장동 1028 (병영교)</t>
  </si>
  <si>
    <t>울산광역시 울주군 웅촌면 통천리 881-1 (통천교 상류)</t>
  </si>
  <si>
    <t>울산광역시 울주군 온양읍 망양리 725-1 (동천1교)</t>
  </si>
  <si>
    <t>낙동강동해권</t>
  </si>
  <si>
    <t>왕피천</t>
  </si>
  <si>
    <t>구미보(상)</t>
  </si>
  <si>
    <t>구미보(하)</t>
  </si>
  <si>
    <t>칠곡보(하)</t>
  </si>
  <si>
    <t>강정고령보(하)</t>
  </si>
  <si>
    <t>달성보(상)</t>
  </si>
  <si>
    <t>달성보(하)</t>
  </si>
  <si>
    <t>창녕·함안보(상)</t>
  </si>
  <si>
    <t>용전천</t>
  </si>
  <si>
    <t>고현천</t>
  </si>
  <si>
    <t>128-22-35.83</t>
  </si>
  <si>
    <t>낙본A</t>
  </si>
  <si>
    <t>황강A</t>
  </si>
  <si>
    <t>태백시(문화교)</t>
  </si>
  <si>
    <t>봉화군(광회교)</t>
  </si>
  <si>
    <t>봉화군(분천교)</t>
  </si>
  <si>
    <t>봉화군(도천교)</t>
  </si>
  <si>
    <t>영양군(청암교)</t>
  </si>
  <si>
    <t>안동시(묵계교)</t>
  </si>
  <si>
    <t>안동시(대사3교)</t>
  </si>
  <si>
    <t>안동시(운산리)</t>
  </si>
  <si>
    <t>예천군(구담교)</t>
  </si>
  <si>
    <t>의성군(풍지교)</t>
  </si>
  <si>
    <t>봉화군(봉화대교)</t>
  </si>
  <si>
    <t>영주시(월호교)</t>
  </si>
  <si>
    <t>영주시(석탑교)</t>
  </si>
  <si>
    <t>예천군(미호교)</t>
  </si>
  <si>
    <t>예천군(고평교)</t>
  </si>
  <si>
    <t>예천군(신음리)</t>
  </si>
  <si>
    <t>예천군(회룡교)</t>
  </si>
  <si>
    <t>예천군(산양교)</t>
  </si>
  <si>
    <t>문경시(갈마교)</t>
  </si>
  <si>
    <t>문경시(김용리)</t>
  </si>
  <si>
    <t>상주시(이안교)</t>
  </si>
  <si>
    <t>상주시(병성교)</t>
  </si>
  <si>
    <t>상주시(소천2교)</t>
  </si>
  <si>
    <t>상주시(후천교)</t>
  </si>
  <si>
    <t>상주시(화계교)</t>
  </si>
  <si>
    <t>문경시(말응리)</t>
  </si>
  <si>
    <t>문경시(이목리)</t>
  </si>
  <si>
    <t>예천군(상풍교)</t>
  </si>
  <si>
    <t>상주시(상주보상)</t>
  </si>
  <si>
    <t>상주시(상주보하)</t>
  </si>
  <si>
    <t>의성군(구미교)</t>
  </si>
  <si>
    <t>군위군(미성교)</t>
  </si>
  <si>
    <t>의성군(덕은교)</t>
  </si>
  <si>
    <t>의성군(비안교)</t>
  </si>
  <si>
    <t>군위군(병수리)</t>
  </si>
  <si>
    <t>군위군(효령교)</t>
  </si>
  <si>
    <t>군위군(무성리)</t>
  </si>
  <si>
    <t>의성군(동부교)</t>
  </si>
  <si>
    <t>의성군(용곡리)</t>
  </si>
  <si>
    <t>의성군(낙단보상)</t>
  </si>
  <si>
    <t>의성군(낙단교)</t>
  </si>
  <si>
    <t>구미시(구미보하)</t>
  </si>
  <si>
    <t>김천시(지품교)</t>
  </si>
  <si>
    <t>김천시(김천교)</t>
  </si>
  <si>
    <t>김천시(대동교)</t>
  </si>
  <si>
    <t>구미시(선주교)</t>
  </si>
  <si>
    <t>구미시(양포교)</t>
  </si>
  <si>
    <t>구미시(구미대교)</t>
  </si>
  <si>
    <t>칠곡군(칠곡보상)</t>
  </si>
  <si>
    <t>칠곡군(칠곡보하)</t>
  </si>
  <si>
    <t>칠곡군(호국의다리)</t>
  </si>
  <si>
    <t>성주군(성주대교)</t>
  </si>
  <si>
    <t>성주군(도성교)</t>
  </si>
  <si>
    <t>대구시(강정고령보하)</t>
  </si>
  <si>
    <t>영천시(단포교)</t>
  </si>
  <si>
    <t>영천시(영동교)</t>
  </si>
  <si>
    <t>영천시(영양교)</t>
  </si>
  <si>
    <t>영천시(금창교)</t>
  </si>
  <si>
    <t>봉화군(풍호리)</t>
  </si>
  <si>
    <t>경산시(압량교)</t>
  </si>
  <si>
    <t>경산시(환상리)</t>
  </si>
  <si>
    <t>대구시(성동교)</t>
  </si>
  <si>
    <t>대구시(안심교)</t>
  </si>
  <si>
    <t>대구시(동화교)</t>
  </si>
  <si>
    <t>대구시(산격대교)</t>
  </si>
  <si>
    <t>대구시(성북교)</t>
  </si>
  <si>
    <t>대구시(강창교)</t>
  </si>
  <si>
    <t>대구시(매곡리)</t>
  </si>
  <si>
    <t>성주군(가천교)</t>
  </si>
  <si>
    <t>성주군(화죽교)</t>
  </si>
  <si>
    <t>합천군(구정리)</t>
  </si>
  <si>
    <t>고령군(귀원교)</t>
  </si>
  <si>
    <t>고령군(회천교)</t>
  </si>
  <si>
    <t>고령군(사촌리)</t>
  </si>
  <si>
    <t>고령군(도진교)</t>
  </si>
  <si>
    <t>대구시(사문진교)</t>
  </si>
  <si>
    <t>고령군(고령교)</t>
  </si>
  <si>
    <t>대구시(달성보상)</t>
  </si>
  <si>
    <t>고령군(달성보하)</t>
  </si>
  <si>
    <t>대구시(성하리)</t>
  </si>
  <si>
    <t>합천군(율지교)</t>
  </si>
  <si>
    <t>합천군(합천창녕보상)</t>
  </si>
  <si>
    <t>합천군(합천창녕보하)</t>
  </si>
  <si>
    <t>합천군(황강교)</t>
  </si>
  <si>
    <t>합천군(적포교)</t>
  </si>
  <si>
    <t>의령군(대곡교)</t>
  </si>
  <si>
    <t>의령군(여의리)</t>
  </si>
  <si>
    <t>의령군(세간교)</t>
  </si>
  <si>
    <t>함양군(안의교)</t>
  </si>
  <si>
    <t>산청군(소이교)</t>
  </si>
  <si>
    <t>산청군(묵곡교)</t>
  </si>
  <si>
    <t>고성군(두문교)</t>
  </si>
  <si>
    <t>진주시(옥산교)</t>
  </si>
  <si>
    <t>진주시(덕오리)</t>
  </si>
  <si>
    <t>진주시(월강교)</t>
  </si>
  <si>
    <t>진주시(장박교)</t>
  </si>
  <si>
    <t>의령군(공단교)</t>
  </si>
  <si>
    <t>의령군(정암교)</t>
  </si>
  <si>
    <t>함안군(서촌리)</t>
  </si>
  <si>
    <t>함안군(대사교)</t>
  </si>
  <si>
    <t>의령군(성산리)</t>
  </si>
  <si>
    <t>밀양시(판곡교)</t>
  </si>
  <si>
    <t>창녕군(강리)</t>
  </si>
  <si>
    <t>함안군(계내리)</t>
  </si>
  <si>
    <t>함안군(소랑교)</t>
  </si>
  <si>
    <t>창녕군(창녕함안보상)</t>
  </si>
  <si>
    <t>함안군(창녕함안보하)</t>
  </si>
  <si>
    <t>창녕군(청암리)</t>
  </si>
  <si>
    <t>밀양시(인교)</t>
  </si>
  <si>
    <t>창원시(수산대교)</t>
  </si>
  <si>
    <t>김해시(오서교)</t>
  </si>
  <si>
    <t>경주시(의곡교)</t>
  </si>
  <si>
    <t>청도군(원리)</t>
  </si>
  <si>
    <t>밀양시(상동교)</t>
  </si>
  <si>
    <t>밀양시(금곡리)</t>
  </si>
  <si>
    <t>밀양시(용평동)</t>
  </si>
  <si>
    <t>밀양시(남천교)</t>
  </si>
  <si>
    <t>밀양시(남포동)</t>
  </si>
  <si>
    <t>밀양시(삼상교)</t>
  </si>
  <si>
    <t>밀양시(삼랑진교)</t>
  </si>
  <si>
    <t>김해시(월촌리)</t>
  </si>
  <si>
    <t>양산시(효충교)</t>
  </si>
  <si>
    <t>양산시(양산교)</t>
  </si>
  <si>
    <t>양산시(호포대교)</t>
  </si>
  <si>
    <t>부산시(구포대교)</t>
  </si>
  <si>
    <t>김해시(정천교)</t>
  </si>
  <si>
    <t>경주시(망성교)</t>
  </si>
  <si>
    <t>경주시(효현교)</t>
  </si>
  <si>
    <t>경주시(서천교)</t>
  </si>
  <si>
    <t>경주시(모아리)</t>
  </si>
  <si>
    <t>경주시(달성교)</t>
  </si>
  <si>
    <t>경주시(국당리)</t>
  </si>
  <si>
    <t>포항시(형산교)</t>
  </si>
  <si>
    <t>울산시(구수교)</t>
  </si>
  <si>
    <t>울산시(사연교)</t>
  </si>
  <si>
    <t>울산시(선바위교)</t>
  </si>
  <si>
    <t>울산시(구영교)</t>
  </si>
  <si>
    <t>울산시(삼호교)</t>
  </si>
  <si>
    <t>울산시(태화교)</t>
  </si>
  <si>
    <t>울산시(신답교)</t>
  </si>
  <si>
    <t>울산시(병영교)</t>
  </si>
  <si>
    <t>울산시(통천교)</t>
  </si>
  <si>
    <t>울산시(동천1교)</t>
  </si>
  <si>
    <t>울산시(덕신교)</t>
  </si>
  <si>
    <t>부산시(원동교)</t>
  </si>
  <si>
    <t>울진군(수산교)</t>
  </si>
  <si>
    <t>영덕군(인량교)</t>
  </si>
  <si>
    <t>영덕군(영덕대교)</t>
  </si>
  <si>
    <t>상주시(강창교)</t>
  </si>
  <si>
    <t>창녕군(유어교)</t>
  </si>
  <si>
    <t>문경시(불정동)</t>
  </si>
  <si>
    <t>128-14-40.23</t>
  </si>
  <si>
    <t>○</t>
  </si>
  <si>
    <t>레이더(2)</t>
  </si>
  <si>
    <t>부자식/기포식</t>
  </si>
  <si>
    <t>압력식/압력식</t>
  </si>
  <si>
    <t>수정식/압력식</t>
  </si>
  <si>
    <t>부자식/압력식</t>
  </si>
  <si>
    <t>부자식/수정식/레이더</t>
  </si>
  <si>
    <t>합천군(남정교)</t>
  </si>
  <si>
    <t>낙동강동해</t>
  </si>
  <si>
    <t>경상북도 봉화군 소천면 분천리 1143-1(분천교)</t>
  </si>
  <si>
    <t>경상북도 상주시 중동면 오상리 782-3</t>
  </si>
  <si>
    <t>경상북도 상주시 낙동면 신상리 산 18-1 (강창교)</t>
  </si>
  <si>
    <t>사벌</t>
  </si>
  <si>
    <t>VSAT/M2M</t>
  </si>
  <si>
    <t>압력식/수정식</t>
  </si>
  <si>
    <t>경상남도 거창군 남상면 월평리 855-15 (남하교)</t>
  </si>
  <si>
    <t>경상남도 창녕군 이방면 성산리 200-4 (유어교)</t>
  </si>
  <si>
    <t>경상북도 의성군 단밀면 위중리 681-1</t>
  </si>
  <si>
    <t>128-20-16</t>
  </si>
  <si>
    <t>128-21-17</t>
  </si>
  <si>
    <t>128-17-46</t>
  </si>
  <si>
    <t>35-22-59</t>
  </si>
  <si>
    <t>No.</t>
  </si>
  <si>
    <t>구미시(일선교)</t>
  </si>
  <si>
    <t>수계명</t>
    <phoneticPr fontId="2" type="noConversion"/>
  </si>
  <si>
    <t>하천명</t>
    <phoneticPr fontId="2" type="noConversion"/>
  </si>
  <si>
    <t>주소</t>
    <phoneticPr fontId="2" type="noConversion"/>
  </si>
  <si>
    <t>129-01-01.71</t>
  </si>
  <si>
    <t>129-02-37.91</t>
  </si>
  <si>
    <t>129-06-37.00</t>
  </si>
  <si>
    <t>129-03-24.30</t>
  </si>
  <si>
    <t>128-54-06.96</t>
  </si>
  <si>
    <t>128-53-20.00</t>
  </si>
  <si>
    <t>129-05-08.16</t>
  </si>
  <si>
    <t>128-54-39.27</t>
  </si>
  <si>
    <t>128-57-32.51</t>
  </si>
  <si>
    <t>128-39-36.49</t>
  </si>
  <si>
    <t>128-27-46.52</t>
  </si>
  <si>
    <t>128-21-51.51</t>
  </si>
  <si>
    <t>128-43-54.90</t>
  </si>
  <si>
    <t>128-37-16.04</t>
  </si>
  <si>
    <t>128-36-02.69</t>
  </si>
  <si>
    <t>128-31-05.35</t>
  </si>
  <si>
    <t>128-29-15.21</t>
  </si>
  <si>
    <t>128-26-54.58</t>
  </si>
  <si>
    <t>128-20-53.94</t>
  </si>
  <si>
    <t>128-19-09.52</t>
  </si>
  <si>
    <t>128-15-38.99</t>
  </si>
  <si>
    <t>128-05-11.33</t>
  </si>
  <si>
    <t>128-13-00.35</t>
  </si>
  <si>
    <t>128-09-32.00</t>
  </si>
  <si>
    <t>128-13-17.34</t>
  </si>
  <si>
    <t>128-08-52.00</t>
  </si>
  <si>
    <t>128-09-31.31</t>
  </si>
  <si>
    <t>128-10-59.07</t>
  </si>
  <si>
    <t>128-15-41.25</t>
  </si>
  <si>
    <t>128-16-07.15</t>
  </si>
  <si>
    <t>128-15-05.73</t>
  </si>
  <si>
    <t>128-14-33.84</t>
  </si>
  <si>
    <t>128-36-00.44</t>
  </si>
  <si>
    <t>128-40-19.54</t>
  </si>
  <si>
    <t>128-36-32.06</t>
  </si>
  <si>
    <t>128-29-18.19</t>
  </si>
  <si>
    <t>128-35-07.78</t>
  </si>
  <si>
    <t>128-35-01.75</t>
  </si>
  <si>
    <t>128-33-50.84</t>
  </si>
  <si>
    <t>128-29-58.67</t>
  </si>
  <si>
    <t>128-23-48.61</t>
  </si>
  <si>
    <t>128-18-30.78</t>
  </si>
  <si>
    <t>128-18-04.16</t>
  </si>
  <si>
    <t>128-20-33.52</t>
  </si>
  <si>
    <t>128-20-30.61</t>
  </si>
  <si>
    <t>128-20-53.08</t>
  </si>
  <si>
    <t>128-02-27.81</t>
  </si>
  <si>
    <t>128-07-50.24</t>
  </si>
  <si>
    <t>128-11-35.38</t>
  </si>
  <si>
    <t>128-18-31.95</t>
  </si>
  <si>
    <t>128-25-44.38</t>
  </si>
  <si>
    <t>128-23-48.14</t>
  </si>
  <si>
    <t>128-23-45.80</t>
  </si>
  <si>
    <t>128-23-41.79</t>
  </si>
  <si>
    <t>128-23-39.45</t>
  </si>
  <si>
    <t>128-23-25.15</t>
  </si>
  <si>
    <t>128-21-56.74</t>
  </si>
  <si>
    <t>128-27-56.58</t>
  </si>
  <si>
    <t>128-58-05.99</t>
  </si>
  <si>
    <t>128-56-18.40</t>
  </si>
  <si>
    <t>128-55-03.36</t>
  </si>
  <si>
    <t>128-52-31.61</t>
  </si>
  <si>
    <t>128-45-58.94</t>
  </si>
  <si>
    <t>128-46-45.03</t>
  </si>
  <si>
    <t>128-43-23.62</t>
  </si>
  <si>
    <t>128-42-54.62</t>
  </si>
  <si>
    <t>128-38-04.04</t>
  </si>
  <si>
    <t>128-36-00.88</t>
  </si>
  <si>
    <t>128-35-59.66</t>
  </si>
  <si>
    <t>128-35-35.04</t>
  </si>
  <si>
    <t>128-28-18.10</t>
  </si>
  <si>
    <t>128-26-46.45</t>
  </si>
  <si>
    <t>128-10-23.09</t>
  </si>
  <si>
    <t>128-10-45.93</t>
  </si>
  <si>
    <t>128-10-12.07</t>
  </si>
  <si>
    <t>128-14-21.06</t>
  </si>
  <si>
    <t>128-16-39.63</t>
  </si>
  <si>
    <t>128-19-18.41</t>
  </si>
  <si>
    <t>128-20-15.87</t>
  </si>
  <si>
    <t>128-28-26.90</t>
  </si>
  <si>
    <t>128-23-12.61</t>
  </si>
  <si>
    <t>128-24-11.26</t>
  </si>
  <si>
    <t>128-25-00.75</t>
  </si>
  <si>
    <t>128-26-02.73</t>
  </si>
  <si>
    <t>128-24-10.62</t>
  </si>
  <si>
    <t>128-21-29.39</t>
  </si>
  <si>
    <t>128-21-36.97</t>
  </si>
  <si>
    <t>128-21-17.14</t>
  </si>
  <si>
    <t>127-56-25.07</t>
  </si>
  <si>
    <t>128-09-41.51</t>
  </si>
  <si>
    <t>128-17-34.29</t>
  </si>
  <si>
    <t>128-21-32.73</t>
  </si>
  <si>
    <t>128-20-52.17</t>
  </si>
  <si>
    <t>128-21-00.37</t>
  </si>
  <si>
    <t>127-48-48.43</t>
  </si>
  <si>
    <t>127-49-46.83</t>
  </si>
  <si>
    <t>128-00-26.87</t>
  </si>
  <si>
    <t>127-57-45.83</t>
  </si>
  <si>
    <t>128-11-27.29</t>
  </si>
  <si>
    <t>128-24-55.01</t>
  </si>
  <si>
    <t>128-09-22.79</t>
  </si>
  <si>
    <t>128-08-13.14</t>
  </si>
  <si>
    <t>128-11-56.32</t>
  </si>
  <si>
    <t>128-16-20.25</t>
  </si>
  <si>
    <t>128-16-07.24</t>
  </si>
  <si>
    <t>128-17-42.98</t>
  </si>
  <si>
    <t>128-24-02.10</t>
  </si>
  <si>
    <t>128-25-32.61</t>
  </si>
  <si>
    <t>128-25-45.42</t>
  </si>
  <si>
    <t>128-39-12.56</t>
  </si>
  <si>
    <t>128-27-45.22</t>
  </si>
  <si>
    <t>128-29-00.89</t>
  </si>
  <si>
    <t>128-31-20.63</t>
  </si>
  <si>
    <t>128-33-02.20</t>
  </si>
  <si>
    <t>128-33-11.76</t>
  </si>
  <si>
    <t>128-36-02.72</t>
  </si>
  <si>
    <t>128-39-03.86</t>
  </si>
  <si>
    <t>128-42-50.88</t>
  </si>
  <si>
    <t>128-48-54.27</t>
  </si>
  <si>
    <t>129-02-50.93</t>
  </si>
  <si>
    <t>128-45-45.59</t>
  </si>
  <si>
    <t>128-45-52.62</t>
  </si>
  <si>
    <t>128-50-21.09</t>
  </si>
  <si>
    <t>128-46-44.67</t>
  </si>
  <si>
    <t>128-44-49.41</t>
  </si>
  <si>
    <t>128-47-07.68</t>
  </si>
  <si>
    <t>128-47-41.62</t>
  </si>
  <si>
    <t>128-49-18.41</t>
  </si>
  <si>
    <t>128-59-39.21</t>
  </si>
  <si>
    <t>129-02-48.90</t>
  </si>
  <si>
    <t>129-02-10.08</t>
  </si>
  <si>
    <t>129-00-47.34</t>
  </si>
  <si>
    <t>128-59-35.63</t>
  </si>
  <si>
    <t>128-50-01.35</t>
  </si>
  <si>
    <t>129-12-01.71</t>
  </si>
  <si>
    <t>129-10-41.98</t>
  </si>
  <si>
    <t>129-12-05.37</t>
  </si>
  <si>
    <t>129-14-25.19</t>
  </si>
  <si>
    <t>129-14-17.70</t>
  </si>
  <si>
    <t>129-15-49.49</t>
  </si>
  <si>
    <t>129-17-45.94</t>
  </si>
  <si>
    <t>129-22-19.30</t>
  </si>
  <si>
    <t>129-09-03.20</t>
  </si>
  <si>
    <t>129-14-06.59</t>
  </si>
  <si>
    <t>129-16-30.92</t>
  </si>
  <si>
    <t>129-18-32.73</t>
  </si>
  <si>
    <t>129-20-48.18</t>
  </si>
  <si>
    <t>129-21-06.57</t>
  </si>
  <si>
    <t>129-14-20.84</t>
  </si>
  <si>
    <t>129-06-50.99</t>
  </si>
  <si>
    <t>129-23-52.95</t>
  </si>
  <si>
    <t>129-22-23.74</t>
  </si>
  <si>
    <t>37-05-45.32</t>
  </si>
  <si>
    <t>37-03-50.52</t>
  </si>
  <si>
    <t>36-56-04.17</t>
  </si>
  <si>
    <t>36-55-49.21</t>
  </si>
  <si>
    <t>36-51-33.72</t>
  </si>
  <si>
    <t>36-50-46.00</t>
  </si>
  <si>
    <t>36-35-49.93</t>
  </si>
  <si>
    <t>36-25-54.25</t>
  </si>
  <si>
    <t>36-21-58.40</t>
  </si>
  <si>
    <t>36-28-45.87</t>
  </si>
  <si>
    <t>36-32-22.40</t>
  </si>
  <si>
    <t>36-31-46.74</t>
  </si>
  <si>
    <t>36-53-14.84</t>
  </si>
  <si>
    <t>36-45-47.25</t>
  </si>
  <si>
    <t>36-42-53.77</t>
  </si>
  <si>
    <t>36-40-10.30</t>
  </si>
  <si>
    <t>36-37-09.40</t>
  </si>
  <si>
    <t>36-39-01.27</t>
  </si>
  <si>
    <t>36-35-02.69</t>
  </si>
  <si>
    <t>36-35-10.14</t>
  </si>
  <si>
    <t>36-36-41.13</t>
  </si>
  <si>
    <t>36-38-19.73</t>
  </si>
  <si>
    <t>36-35-20.81</t>
  </si>
  <si>
    <t>36-32-38.48</t>
  </si>
  <si>
    <t>36-26-07.76</t>
  </si>
  <si>
    <t>36-22-31.25</t>
  </si>
  <si>
    <t>36-25-40.94</t>
  </si>
  <si>
    <t>36-25-07.20</t>
  </si>
  <si>
    <t>36-32-32.89</t>
  </si>
  <si>
    <t>36-29-54.72</t>
  </si>
  <si>
    <t>36-25-55.62</t>
  </si>
  <si>
    <t>36-26-06.13</t>
  </si>
  <si>
    <t>36-24-35.22</t>
  </si>
  <si>
    <t>36-18-21.72</t>
  </si>
  <si>
    <t>36-10-53.99</t>
  </si>
  <si>
    <t>36-17-23.68</t>
  </si>
  <si>
    <t>36-20-07.22</t>
  </si>
  <si>
    <t>36-10-36.95</t>
  </si>
  <si>
    <t>36-09-19.92</t>
  </si>
  <si>
    <t>36-11-37.75</t>
  </si>
  <si>
    <t>36-19-27.57</t>
  </si>
  <si>
    <t>36-21-34.67</t>
  </si>
  <si>
    <t>36-21-34.94</t>
  </si>
  <si>
    <t>36-21-26.88</t>
  </si>
  <si>
    <t>36-16-23.13</t>
  </si>
  <si>
    <t>36-14-16.14</t>
  </si>
  <si>
    <t>36-14-11.79</t>
  </si>
  <si>
    <t>36-01-32.08</t>
  </si>
  <si>
    <t>36-07-08.97</t>
  </si>
  <si>
    <t>36-09-48.86</t>
  </si>
  <si>
    <t>36-13-41.20</t>
  </si>
  <si>
    <t>36-08-10.42</t>
  </si>
  <si>
    <t>36-06-39.31</t>
  </si>
  <si>
    <t>36-01-02.89</t>
  </si>
  <si>
    <t>36-00-49.62</t>
  </si>
  <si>
    <t>36-00-00.68</t>
  </si>
  <si>
    <t>35-52-51.55</t>
  </si>
  <si>
    <t>35-52-45.85</t>
  </si>
  <si>
    <t>35-50-23.89</t>
  </si>
  <si>
    <t>35-58-43.14</t>
  </si>
  <si>
    <t>35-58-07.62</t>
  </si>
  <si>
    <t>35-57-42.17</t>
  </si>
  <si>
    <t>35-55-50.18</t>
  </si>
  <si>
    <t>35-51-08.01</t>
  </si>
  <si>
    <t>35-52-40.82</t>
  </si>
  <si>
    <t>35-51-07.38</t>
  </si>
  <si>
    <t>35-51-41.57</t>
  </si>
  <si>
    <t>35-53-29.61</t>
  </si>
  <si>
    <t>35-54-59.21</t>
  </si>
  <si>
    <t>35-54-32.01</t>
  </si>
  <si>
    <t>35-53-35.25</t>
  </si>
  <si>
    <t>35-51-12.34</t>
  </si>
  <si>
    <t>35-50-57.69</t>
  </si>
  <si>
    <t>35-52-51.38</t>
  </si>
  <si>
    <t>35-52-23.18</t>
  </si>
  <si>
    <t>35-42-25.73</t>
  </si>
  <si>
    <t>35-40-33.03</t>
  </si>
  <si>
    <t>35-43-44.96</t>
  </si>
  <si>
    <t>35-42-02.02</t>
  </si>
  <si>
    <t>35-40-44.65</t>
  </si>
  <si>
    <t>35-48-43.95</t>
  </si>
  <si>
    <t>35-45-10.16</t>
  </si>
  <si>
    <t>35-44-21.77</t>
  </si>
  <si>
    <t>35-43-49.06</t>
  </si>
  <si>
    <t>35-42-09.98</t>
  </si>
  <si>
    <t>35-38-01.02</t>
  </si>
  <si>
    <t>35-36-44.66</t>
  </si>
  <si>
    <t>35-35-41.85</t>
  </si>
  <si>
    <t>35-35-16.87</t>
  </si>
  <si>
    <t>35-40-18.46</t>
  </si>
  <si>
    <t>35-33-27.01</t>
  </si>
  <si>
    <t>35-34-18.93</t>
  </si>
  <si>
    <t>35-31-39.22</t>
  </si>
  <si>
    <t>35-31-10.64</t>
  </si>
  <si>
    <t>35-29-04.56</t>
  </si>
  <si>
    <t>35-26-35.98</t>
  </si>
  <si>
    <t>35-37-44.93</t>
  </si>
  <si>
    <t>35-29-24.81</t>
  </si>
  <si>
    <t>35-21-35.43</t>
  </si>
  <si>
    <t>35-16-55.52</t>
  </si>
  <si>
    <t>35-05-55.19</t>
  </si>
  <si>
    <t>35-21-38.61</t>
  </si>
  <si>
    <t>35-09-48.04</t>
  </si>
  <si>
    <t>35-14-14.51</t>
  </si>
  <si>
    <t>35-13-20.61</t>
  </si>
  <si>
    <t>35-15-22.37</t>
  </si>
  <si>
    <t>35-19-02.07</t>
  </si>
  <si>
    <t>35-18-48.46</t>
  </si>
  <si>
    <t>35-19-53.96</t>
  </si>
  <si>
    <t>35-15-18.24</t>
  </si>
  <si>
    <t>35-23-26.62</t>
  </si>
  <si>
    <t>35-30-16.35</t>
  </si>
  <si>
    <t>35-27-26.76</t>
  </si>
  <si>
    <t>35-23-00.04</t>
  </si>
  <si>
    <t>35-22-53.49</t>
  </si>
  <si>
    <t>35-22-58.63</t>
  </si>
  <si>
    <t>35-22-36.62</t>
  </si>
  <si>
    <t>35-23-43.53</t>
  </si>
  <si>
    <t>35-25-31.53</t>
  </si>
  <si>
    <t>35-21-55.59</t>
  </si>
  <si>
    <t>35-45-30.84</t>
  </si>
  <si>
    <t>35-37-10.91</t>
  </si>
  <si>
    <t>35-33-48.78</t>
  </si>
  <si>
    <t>35-30-31.71</t>
  </si>
  <si>
    <t>35-29-39.13</t>
  </si>
  <si>
    <t>35-29-21.49</t>
  </si>
  <si>
    <t>35-27-40.68</t>
  </si>
  <si>
    <t>35-24-41.23</t>
  </si>
  <si>
    <t>35-22-57.62</t>
  </si>
  <si>
    <t>35-17-21.94</t>
  </si>
  <si>
    <t>35-22-49.76</t>
  </si>
  <si>
    <t>35-21-27.21</t>
  </si>
  <si>
    <t>35-17-19.87</t>
  </si>
  <si>
    <t>35-12-13.45</t>
  </si>
  <si>
    <t>35-12-20.42</t>
  </si>
  <si>
    <t>35-47-16.59</t>
  </si>
  <si>
    <t>35-48-53.85</t>
  </si>
  <si>
    <t>35-50-17.44</t>
  </si>
  <si>
    <t>35-55-16.34</t>
  </si>
  <si>
    <t>36-03-06.86</t>
  </si>
  <si>
    <t>35-58-51.82</t>
  </si>
  <si>
    <t>35-59-39.30</t>
  </si>
  <si>
    <t>36-00-41.68</t>
  </si>
  <si>
    <t>35-32-53.81</t>
  </si>
  <si>
    <t>35-34-40.46</t>
  </si>
  <si>
    <t>35-33-13.96</t>
  </si>
  <si>
    <t>35-33-09.38</t>
  </si>
  <si>
    <t>35-37-46.77</t>
  </si>
  <si>
    <t>35-34-36.37</t>
  </si>
  <si>
    <t>35-28-12.18</t>
  </si>
  <si>
    <t>35-11-38.39</t>
  </si>
  <si>
    <t>36-57-56.75</t>
  </si>
  <si>
    <t>36-24-08.78</t>
  </si>
  <si>
    <t>위               치</t>
  </si>
  <si>
    <t xml:space="preserve">
관측개시일</t>
  </si>
  <si>
    <t>Location</t>
  </si>
  <si>
    <t>Serial</t>
  </si>
  <si>
    <t>주               소</t>
  </si>
  <si>
    <t>경도(소수점 포함)</t>
  </si>
  <si>
    <t>위도(소수점 포함)</t>
  </si>
  <si>
    <t>위     도</t>
  </si>
  <si>
    <t>Station</t>
  </si>
  <si>
    <t>System</t>
  </si>
  <si>
    <t>Estuary,
Confluence</t>
  </si>
  <si>
    <t>강원도 태백시 장성동 216 (문화교)</t>
  </si>
  <si>
    <t>봉화군(대현교)</t>
  </si>
  <si>
    <t>경상북도 봉화군 석포면 석포리 699-2 (대현교)</t>
  </si>
  <si>
    <t>경상북도 봉화군 소천면 분천리 1939(광회교)</t>
  </si>
  <si>
    <t>예천군(신예천교)</t>
  </si>
  <si>
    <t>경상북도 예천군 예천읍 남본리 310-1 (신예천교)</t>
  </si>
  <si>
    <t>경상북도 문경시 영순면 김용리 259-2</t>
  </si>
  <si>
    <t>병성</t>
  </si>
  <si>
    <t>병성천</t>
  </si>
  <si>
    <t>경상북도 상주시 병성동 805 (병성교)</t>
  </si>
  <si>
    <t>가장</t>
  </si>
  <si>
    <t>경상북도 상주시 가장동 637-1 (소천2교)</t>
  </si>
  <si>
    <t>상주</t>
  </si>
  <si>
    <t>북천</t>
  </si>
  <si>
    <t>경상북도 상주시 계산동 523 (후천교)</t>
  </si>
  <si>
    <t>동문</t>
  </si>
  <si>
    <t>경상북도 상주시 성동동 646 (화계교)</t>
  </si>
  <si>
    <t>말응</t>
  </si>
  <si>
    <t>경상북도 문경시 영순면 말응리 산93</t>
  </si>
  <si>
    <t>달지</t>
  </si>
  <si>
    <t>경상북도 문경시 영순면 이목리 산80</t>
  </si>
  <si>
    <t>경상북도 예천군 풍양면 효갈리1083-1 (상풍교)</t>
  </si>
  <si>
    <t>상주보(상)</t>
  </si>
  <si>
    <t>상주보(하)</t>
  </si>
  <si>
    <t>경상북도 상주시 도남동 810-1</t>
  </si>
  <si>
    <t>봉양</t>
  </si>
  <si>
    <t>남대천</t>
  </si>
  <si>
    <t>경상북도 의성군 봉양면 구미리 475-2 (구미교)</t>
  </si>
  <si>
    <t>미성</t>
  </si>
  <si>
    <t>경상북도 군위군 우보면 이화리 575-9 (미성교)</t>
  </si>
  <si>
    <t>덕은</t>
  </si>
  <si>
    <t>쌍계천</t>
  </si>
  <si>
    <t>경상북도 의성군 봉양면 구산리 1645-220 (덕은교)</t>
  </si>
  <si>
    <t>비안</t>
  </si>
  <si>
    <t>경상북도 의성군 비안면 서부리 773 (비안교)</t>
  </si>
  <si>
    <t>낙단보(상)</t>
  </si>
  <si>
    <t>경상북도 의성군 단밀면 생송리 1668-131</t>
  </si>
  <si>
    <t>구미시(구미보상)</t>
  </si>
  <si>
    <t>경상북도 구미시 선산읍 독동리 산98</t>
  </si>
  <si>
    <t>경상북도 구미시 해평면 낙산리 387-12</t>
  </si>
  <si>
    <t>경상북도 구미시 구포동 1075(양포교)</t>
  </si>
  <si>
    <t>칠곡보(상)</t>
  </si>
  <si>
    <t>경상북도 칠곡군 약목면 관호리 산 5</t>
  </si>
  <si>
    <t>경상북도 칠곡군 약목면 관호리 458-35</t>
  </si>
  <si>
    <t>경상북도 성주군 선남면 도성리 651-5 (도성교)</t>
  </si>
  <si>
    <t>대구광역시 달성군 다사읍 죽곡리 806</t>
  </si>
  <si>
    <t>영천</t>
  </si>
  <si>
    <t>대구시(신암동)</t>
  </si>
  <si>
    <t>경상북도 성주군 수륜면 수성리 341-5 (화죽교)</t>
  </si>
  <si>
    <t>경상북도 고령군 성산면 오곡리 56-3번지</t>
  </si>
  <si>
    <t>경상북도 고령군 개진면 인안리 18-1번지</t>
  </si>
  <si>
    <t>대구시(내리)</t>
  </si>
  <si>
    <t>합천·창녕보(상)</t>
  </si>
  <si>
    <t>경상남도 창녕군 이방면 장천리 1065</t>
  </si>
  <si>
    <t>합천·창녕보(하)</t>
  </si>
  <si>
    <t>경상남도 합천군 청덕면 삼학리 199-1</t>
  </si>
  <si>
    <t>거창군(남하교)</t>
  </si>
  <si>
    <t>토평천</t>
  </si>
  <si>
    <t>산청군(고읍교)</t>
  </si>
  <si>
    <t>외고</t>
  </si>
  <si>
    <t>신등천</t>
  </si>
  <si>
    <t>경상남도 산청군 신안면 외고리 431-1 (소이교)</t>
  </si>
  <si>
    <t>함안군(송도교)</t>
  </si>
  <si>
    <t>경상남도 함안군 대산면 구혜리 927-1 (송도교)</t>
  </si>
  <si>
    <t>문산</t>
  </si>
  <si>
    <t>경상남도 진주시 문산읍 옥산리 39-2(옥산교)</t>
  </si>
  <si>
    <t>경상남도 의령군 의령읍 동동리 845-2(공단교)</t>
  </si>
  <si>
    <t>함안</t>
  </si>
  <si>
    <t>경상남도 함안군 함안면 대산리 1242-2(대사교)</t>
  </si>
  <si>
    <t>경상남도 창녕군 길곡면 오호리 1001-1</t>
  </si>
  <si>
    <t>창녕·함안보(하)</t>
  </si>
  <si>
    <t>경상남도 함안군 칠북면 봉촌리 257</t>
  </si>
  <si>
    <t>산내</t>
  </si>
  <si>
    <t>동창천</t>
  </si>
  <si>
    <t>경상북도 경주시 산내면 의곡리 591-40 (의곡교)</t>
  </si>
  <si>
    <t>밀양</t>
  </si>
  <si>
    <t>경주시(강동대교)</t>
  </si>
  <si>
    <t>울산광역시 울주군 언양읍 반송리 1044-91(구수교)</t>
  </si>
  <si>
    <t>범서</t>
  </si>
  <si>
    <t>울산광역시 울주군 범서읍 입암리 26-10 (선바위교)</t>
  </si>
  <si>
    <t>상안</t>
  </si>
  <si>
    <t>울산광역시 북구 상안동 320-1 (신답교)</t>
  </si>
  <si>
    <t>울산광역시 울주군 온산읍 덕신리 980-1 (덕신교)</t>
  </si>
  <si>
    <t>수영</t>
  </si>
  <si>
    <t>수영강</t>
  </si>
  <si>
    <t>부산광역시 해운대구 반여동 1475-8 (원동교)</t>
  </si>
  <si>
    <t>근남</t>
  </si>
  <si>
    <t>경상북도 울진군 근남면 노음리 322-2 (수산교)</t>
  </si>
  <si>
    <t>경상북도 영덕군 영덕읍 남산리 875 ((구)영덕대교)</t>
  </si>
  <si>
    <t>보통(C)</t>
  </si>
  <si>
    <t>거창위천</t>
  </si>
  <si>
    <t>레이더/수정식</t>
  </si>
  <si>
    <t>하구, 하류점</t>
    <phoneticPr fontId="2" type="noConversion"/>
  </si>
  <si>
    <t>129-14-48.04</t>
  </si>
  <si>
    <t>35-33-42.60</t>
  </si>
  <si>
    <t>경상북도 영덕군 영해면 원구리 390-3 (인량교)</t>
  </si>
  <si>
    <t>129-01-02</t>
  </si>
  <si>
    <t>37-05-45</t>
  </si>
  <si>
    <t>129-02-38</t>
  </si>
  <si>
    <t>37-03-51</t>
  </si>
  <si>
    <t>129-06-37</t>
  </si>
  <si>
    <t>36-56-04</t>
  </si>
  <si>
    <t>129-03-24</t>
  </si>
  <si>
    <t>36-55-49</t>
  </si>
  <si>
    <t>128-54-07</t>
  </si>
  <si>
    <t>36-51-34</t>
  </si>
  <si>
    <t>128-53-20</t>
  </si>
  <si>
    <t>36-50-46</t>
  </si>
  <si>
    <t>129-05-08</t>
  </si>
  <si>
    <t>36-35-50</t>
  </si>
  <si>
    <t>128-54-39</t>
  </si>
  <si>
    <t>36-25-54</t>
  </si>
  <si>
    <t>128-57-33</t>
  </si>
  <si>
    <t>36-21-58</t>
  </si>
  <si>
    <t>128-39-36</t>
  </si>
  <si>
    <t>36-28-46</t>
  </si>
  <si>
    <t>128-27-47</t>
  </si>
  <si>
    <t>36-32-22</t>
  </si>
  <si>
    <t>128-21-52</t>
  </si>
  <si>
    <t>36-31-47</t>
  </si>
  <si>
    <t>128-43-55</t>
  </si>
  <si>
    <t>36-53-15</t>
  </si>
  <si>
    <t>128-37-16</t>
  </si>
  <si>
    <t>36-45-47</t>
  </si>
  <si>
    <t>128-36-03</t>
  </si>
  <si>
    <t>36-42-54</t>
  </si>
  <si>
    <t>128-31-05</t>
  </si>
  <si>
    <t>36-40-10</t>
  </si>
  <si>
    <t>128-29-15</t>
  </si>
  <si>
    <t>36-37-09</t>
  </si>
  <si>
    <t>128-26-55</t>
  </si>
  <si>
    <t>36-39-01</t>
  </si>
  <si>
    <t>128-20-54</t>
  </si>
  <si>
    <t>36-35-03</t>
  </si>
  <si>
    <t>128-19-10</t>
  </si>
  <si>
    <t>36-35-10</t>
  </si>
  <si>
    <t>128-15-39</t>
  </si>
  <si>
    <t>36-36-41</t>
  </si>
  <si>
    <t>128-05-11</t>
  </si>
  <si>
    <t>36-38-20</t>
  </si>
  <si>
    <t>128-08-55.30</t>
  </si>
  <si>
    <t>36-38-45.40</t>
  </si>
  <si>
    <t>128-13-00</t>
  </si>
  <si>
    <t>36-35-21</t>
  </si>
  <si>
    <t>128-09-32</t>
  </si>
  <si>
    <t>36-32-38</t>
  </si>
  <si>
    <t>128-13-17</t>
  </si>
  <si>
    <t>36-26-08</t>
  </si>
  <si>
    <t>128-08-52</t>
  </si>
  <si>
    <t>36-22-31</t>
  </si>
  <si>
    <t>128-09-31</t>
  </si>
  <si>
    <t>36-25-41</t>
  </si>
  <si>
    <t>128-10-59</t>
  </si>
  <si>
    <t>36-25-07</t>
  </si>
  <si>
    <t>128-15-41</t>
  </si>
  <si>
    <t>36-32-33</t>
  </si>
  <si>
    <t>128-16-07</t>
  </si>
  <si>
    <t>36-29-55</t>
  </si>
  <si>
    <t>128-15-06</t>
  </si>
  <si>
    <t>36-25-56</t>
  </si>
  <si>
    <t>128-14-34</t>
  </si>
  <si>
    <t>36-26-06</t>
  </si>
  <si>
    <t>128-14-40</t>
  </si>
  <si>
    <t>36-24-35</t>
  </si>
  <si>
    <t>128-36-00</t>
  </si>
  <si>
    <t>36-18-22</t>
  </si>
  <si>
    <t>128-40-20</t>
  </si>
  <si>
    <t>36-10-54</t>
  </si>
  <si>
    <t>128-36-32</t>
  </si>
  <si>
    <t>36-17-24</t>
  </si>
  <si>
    <t>128-29-18</t>
  </si>
  <si>
    <t>36-20-07</t>
  </si>
  <si>
    <t>128-35-08</t>
  </si>
  <si>
    <t>36-10-37</t>
  </si>
  <si>
    <t>128-35-02</t>
  </si>
  <si>
    <t>36-09-20</t>
  </si>
  <si>
    <t>128-33-51</t>
  </si>
  <si>
    <t>36-11-38</t>
  </si>
  <si>
    <t>128-29-59</t>
  </si>
  <si>
    <t>36-19-28</t>
  </si>
  <si>
    <t>128-23-49</t>
  </si>
  <si>
    <t>36-21-35</t>
  </si>
  <si>
    <t>128-18-31</t>
  </si>
  <si>
    <t>128-18-04</t>
  </si>
  <si>
    <t>36-21-27</t>
  </si>
  <si>
    <t>128-20-34</t>
  </si>
  <si>
    <t>128-20-31</t>
  </si>
  <si>
    <t>36-14-16</t>
  </si>
  <si>
    <t>128-20-53</t>
  </si>
  <si>
    <t>36-14-12</t>
  </si>
  <si>
    <t>128-02-28</t>
  </si>
  <si>
    <t>36-01-32</t>
  </si>
  <si>
    <t>128-07-50</t>
  </si>
  <si>
    <t>36-07-09</t>
  </si>
  <si>
    <t>128-11-35</t>
  </si>
  <si>
    <t>36-09-49</t>
  </si>
  <si>
    <t>128-18-32</t>
  </si>
  <si>
    <t>36-13-41</t>
  </si>
  <si>
    <t>128-25-44</t>
  </si>
  <si>
    <t>36-08-10</t>
  </si>
  <si>
    <t>128-23-48</t>
  </si>
  <si>
    <t>36-06-39</t>
  </si>
  <si>
    <t>128-23-46</t>
  </si>
  <si>
    <t>36-01-03</t>
  </si>
  <si>
    <t>128-23-42</t>
  </si>
  <si>
    <t>36-00-50</t>
  </si>
  <si>
    <t>128-23-39</t>
  </si>
  <si>
    <t>36-00-01</t>
  </si>
  <si>
    <t>128-23-25</t>
  </si>
  <si>
    <t>35-52-52</t>
  </si>
  <si>
    <t>128-21-57</t>
  </si>
  <si>
    <t>35-52-46</t>
  </si>
  <si>
    <t>128-27-57</t>
  </si>
  <si>
    <t>35-50-24</t>
  </si>
  <si>
    <t>128-58-06</t>
  </si>
  <si>
    <t>35-58-43</t>
  </si>
  <si>
    <t>128-56-18</t>
  </si>
  <si>
    <t>35-58-08</t>
  </si>
  <si>
    <t>128-55-03</t>
  </si>
  <si>
    <t>35-57-42</t>
  </si>
  <si>
    <t>128-52-32</t>
  </si>
  <si>
    <t>35-55-50</t>
  </si>
  <si>
    <t>128-45-59</t>
  </si>
  <si>
    <t>35-51-08</t>
  </si>
  <si>
    <t>128-46-45</t>
  </si>
  <si>
    <t>35-52-41</t>
  </si>
  <si>
    <t>128-43-24</t>
  </si>
  <si>
    <t>35-51-07</t>
  </si>
  <si>
    <t>128-42-55</t>
  </si>
  <si>
    <t>35-51-42</t>
  </si>
  <si>
    <t>128-38-04</t>
  </si>
  <si>
    <t>35-53-30</t>
  </si>
  <si>
    <t>128-36-01</t>
  </si>
  <si>
    <t>35-54-59</t>
  </si>
  <si>
    <t>128-35-60</t>
  </si>
  <si>
    <t>35-54-32</t>
  </si>
  <si>
    <t>128-35-35</t>
  </si>
  <si>
    <t>35-53-35</t>
  </si>
  <si>
    <t>35-51-12</t>
  </si>
  <si>
    <t>128-26-46</t>
  </si>
  <si>
    <t>35-50-58</t>
  </si>
  <si>
    <t>128-10-23</t>
  </si>
  <si>
    <t>35-52-51</t>
  </si>
  <si>
    <t>128-10-46</t>
  </si>
  <si>
    <t>35-52-23</t>
  </si>
  <si>
    <t>128-10-12</t>
  </si>
  <si>
    <t>35-42-26</t>
  </si>
  <si>
    <t>128-14-21</t>
  </si>
  <si>
    <t>35-40-33</t>
  </si>
  <si>
    <t>128-16-40</t>
  </si>
  <si>
    <t>35-43-45</t>
  </si>
  <si>
    <t>128-19-18</t>
  </si>
  <si>
    <t>35-42-02</t>
  </si>
  <si>
    <t>35-40-45</t>
  </si>
  <si>
    <t>128-28-27</t>
  </si>
  <si>
    <t>35-48-44</t>
  </si>
  <si>
    <t>128-23-13</t>
  </si>
  <si>
    <t>35-45-10</t>
  </si>
  <si>
    <t>128-24-11</t>
  </si>
  <si>
    <t>35-44-22</t>
  </si>
  <si>
    <t>128-25-01</t>
  </si>
  <si>
    <t>35-43-49</t>
  </si>
  <si>
    <t>128-26-03</t>
  </si>
  <si>
    <t>35-42-10</t>
  </si>
  <si>
    <t>35-38-01</t>
  </si>
  <si>
    <t>128-21-29</t>
  </si>
  <si>
    <t>35-36-45</t>
  </si>
  <si>
    <t>128-21-37</t>
  </si>
  <si>
    <t>35-35-42</t>
  </si>
  <si>
    <t>35-35-17</t>
  </si>
  <si>
    <t>127-56-25</t>
  </si>
  <si>
    <t>35-40-18</t>
  </si>
  <si>
    <t>128-09-42</t>
  </si>
  <si>
    <t>35-33-27</t>
  </si>
  <si>
    <t>128-17-34</t>
  </si>
  <si>
    <t>35-34-19</t>
  </si>
  <si>
    <t>128-21-33</t>
  </si>
  <si>
    <t>128-20-52</t>
  </si>
  <si>
    <t>35-29-05</t>
  </si>
  <si>
    <t>128-22-36</t>
  </si>
  <si>
    <t>35-31-11</t>
  </si>
  <si>
    <t>128-22-33.30</t>
  </si>
  <si>
    <t>35-26-23.50</t>
  </si>
  <si>
    <t>128-21-00</t>
  </si>
  <si>
    <t>35-26-36</t>
  </si>
  <si>
    <t>127-48-48</t>
  </si>
  <si>
    <t>35-37-45</t>
  </si>
  <si>
    <t>127-49-47</t>
  </si>
  <si>
    <t>35-29-25</t>
  </si>
  <si>
    <t>128-00-27</t>
  </si>
  <si>
    <t>35-21-35</t>
  </si>
  <si>
    <t>127-57-46</t>
  </si>
  <si>
    <t>35-16-56</t>
  </si>
  <si>
    <t>128-11-27</t>
  </si>
  <si>
    <t>35-05-55</t>
  </si>
  <si>
    <t>128-24-55</t>
  </si>
  <si>
    <t>35-21-39</t>
  </si>
  <si>
    <t>128-09-23</t>
  </si>
  <si>
    <t>35-09-48</t>
  </si>
  <si>
    <t>128-08-13</t>
  </si>
  <si>
    <t>35-14-15</t>
  </si>
  <si>
    <t>128-11-56</t>
  </si>
  <si>
    <t>35-13-21</t>
  </si>
  <si>
    <t>128-16-20</t>
  </si>
  <si>
    <t>35-15-22</t>
  </si>
  <si>
    <t>35-19-02</t>
  </si>
  <si>
    <t>128-17-43</t>
  </si>
  <si>
    <t>35-18-48</t>
  </si>
  <si>
    <t>128-24-02</t>
  </si>
  <si>
    <t>35-19-54</t>
  </si>
  <si>
    <t>128-25-33</t>
  </si>
  <si>
    <t>35-15-18</t>
  </si>
  <si>
    <t>128-25-45</t>
  </si>
  <si>
    <t>35-23-27</t>
  </si>
  <si>
    <t>128-39-13</t>
  </si>
  <si>
    <t>35-30-16</t>
  </si>
  <si>
    <t>128-27-45</t>
  </si>
  <si>
    <t>35-27-27</t>
  </si>
  <si>
    <t>35-23-00</t>
  </si>
  <si>
    <t>128-31-21</t>
  </si>
  <si>
    <t>35-22-53</t>
  </si>
  <si>
    <t>128-33-02</t>
  </si>
  <si>
    <t>128-33-12</t>
  </si>
  <si>
    <t>35-22-37</t>
  </si>
  <si>
    <t>35-23-44</t>
  </si>
  <si>
    <t>128-39-04</t>
  </si>
  <si>
    <t>35-25-32</t>
  </si>
  <si>
    <t>128-42-51</t>
  </si>
  <si>
    <t>35-21-56</t>
  </si>
  <si>
    <t>128-48-54</t>
  </si>
  <si>
    <t>35-20-10</t>
  </si>
  <si>
    <t>129-02-51</t>
  </si>
  <si>
    <t>35-45-31</t>
  </si>
  <si>
    <t>128-45-46</t>
  </si>
  <si>
    <t>35-37-11</t>
  </si>
  <si>
    <t>128-45-53</t>
  </si>
  <si>
    <t>35-33-49</t>
  </si>
  <si>
    <t>128-50-21</t>
  </si>
  <si>
    <t>35-30-32</t>
  </si>
  <si>
    <t>35-29-39</t>
  </si>
  <si>
    <t>128-44-49</t>
  </si>
  <si>
    <t>35-29-21</t>
  </si>
  <si>
    <t>128-47-08</t>
  </si>
  <si>
    <t>35-27-41</t>
  </si>
  <si>
    <t>128-47-42</t>
  </si>
  <si>
    <t>35-24-41</t>
  </si>
  <si>
    <t>128-49-18</t>
  </si>
  <si>
    <t>35-22-58</t>
  </si>
  <si>
    <t>128-59-39</t>
  </si>
  <si>
    <t>35-17-22</t>
  </si>
  <si>
    <t>129-02-49</t>
  </si>
  <si>
    <t>35-22-50</t>
  </si>
  <si>
    <t>129-02-10</t>
  </si>
  <si>
    <t>35-21-27</t>
  </si>
  <si>
    <t>129-00-47</t>
  </si>
  <si>
    <t>35-17-20</t>
  </si>
  <si>
    <t>128-59-36</t>
  </si>
  <si>
    <t>35-12-13</t>
  </si>
  <si>
    <t>128-50-01</t>
  </si>
  <si>
    <t>35-12-20</t>
  </si>
  <si>
    <t>129-12-02</t>
  </si>
  <si>
    <t>35-47-17</t>
  </si>
  <si>
    <t>129-10-42</t>
  </si>
  <si>
    <t>35-48-54</t>
  </si>
  <si>
    <t>129-12-05</t>
  </si>
  <si>
    <t>35-50-17</t>
  </si>
  <si>
    <t>129-14-25</t>
  </si>
  <si>
    <t>35-55-16</t>
  </si>
  <si>
    <t>129-14-18</t>
  </si>
  <si>
    <t>36-03-07</t>
  </si>
  <si>
    <t>129-15-49</t>
  </si>
  <si>
    <t>35-58-52</t>
  </si>
  <si>
    <t>129-17-46</t>
  </si>
  <si>
    <t>35-59-39</t>
  </si>
  <si>
    <t>129-22-19</t>
  </si>
  <si>
    <t>36-00-42</t>
  </si>
  <si>
    <t>129-09-03</t>
  </si>
  <si>
    <t>35-32-54</t>
  </si>
  <si>
    <t>129-12-16</t>
  </si>
  <si>
    <t>35-34-20</t>
  </si>
  <si>
    <t>129-14-07</t>
  </si>
  <si>
    <t>35-34-40</t>
  </si>
  <si>
    <t>울산광역시 울주군 범서읍 구영리 286-5 (구영교)</t>
  </si>
  <si>
    <t>129-16-31</t>
  </si>
  <si>
    <t>35-33-14</t>
  </si>
  <si>
    <t>129-18-33</t>
  </si>
  <si>
    <t>35-33-09</t>
  </si>
  <si>
    <t>129-20-48</t>
  </si>
  <si>
    <t>35-37-47</t>
  </si>
  <si>
    <t>129-21-07</t>
  </si>
  <si>
    <t>35-34-36</t>
  </si>
  <si>
    <t>129-14-21</t>
  </si>
  <si>
    <t>35-28-12</t>
  </si>
  <si>
    <t>129-17-27</t>
  </si>
  <si>
    <t>35-27-39</t>
  </si>
  <si>
    <t>129-18-15</t>
  </si>
  <si>
    <t>35-26-03</t>
  </si>
  <si>
    <t>129-06-51</t>
  </si>
  <si>
    <t>35-11-38</t>
  </si>
  <si>
    <t>129-23-53</t>
  </si>
  <si>
    <t>36-57-57</t>
  </si>
  <si>
    <t>129-22-38.96</t>
  </si>
  <si>
    <t>129-22-39</t>
  </si>
  <si>
    <t>36-24-09</t>
  </si>
  <si>
    <t>관측소 코드</t>
    <phoneticPr fontId="2" type="noConversion"/>
  </si>
  <si>
    <t>하천등급</t>
    <phoneticPr fontId="2" type="noConversion"/>
  </si>
  <si>
    <t>관측개시일</t>
    <phoneticPr fontId="2" type="noConversion"/>
  </si>
  <si>
    <t>위도</t>
    <phoneticPr fontId="2" type="noConversion"/>
  </si>
  <si>
    <t>경도</t>
    <phoneticPr fontId="2" type="noConversion"/>
  </si>
  <si>
    <t>지방</t>
  </si>
  <si>
    <t>국가</t>
  </si>
  <si>
    <t>□</t>
  </si>
  <si>
    <t>경상북도 의성군 다인면 용곡리 764 (풍지교)</t>
    <phoneticPr fontId="2" type="noConversion"/>
  </si>
  <si>
    <t>경상북도 문경시 불정동 76-1</t>
  </si>
  <si>
    <t>36-38-41</t>
  </si>
  <si>
    <t>128-08-57</t>
  </si>
  <si>
    <t>경상북도 문경시 영순면 이목리 산80</t>
    <phoneticPr fontId="2" type="noConversion"/>
  </si>
  <si>
    <t>36-33-20</t>
  </si>
  <si>
    <t>강창교</t>
  </si>
  <si>
    <t>경상북도 군위군 군위읍 무성리 821-2</t>
  </si>
  <si>
    <t>경상북도 김천시 구성면 상원리 234-21 (지품교)</t>
    <phoneticPr fontId="2" type="noConversion"/>
  </si>
  <si>
    <t>경상북도 김천시 지좌동 1046-1 (김천교)</t>
    <phoneticPr fontId="2" type="noConversion"/>
  </si>
  <si>
    <t>경상북도 김천시 개령면 서부리 669-1 (대동교)</t>
    <phoneticPr fontId="2" type="noConversion"/>
  </si>
  <si>
    <t>경상북도 영천시 완산동 1269-1 (영동교)</t>
    <phoneticPr fontId="2" type="noConversion"/>
  </si>
  <si>
    <t>경상북도 영천시 금호읍 교대리 661 (금창교)</t>
    <phoneticPr fontId="2" type="noConversion"/>
  </si>
  <si>
    <t>경상북도 경산시 하양읍 환상리 768-1 (금호3교 하류)</t>
    <phoneticPr fontId="2" type="noConversion"/>
  </si>
  <si>
    <t>대구광역시 북구 서변동 1630-1 (산격대교)</t>
    <phoneticPr fontId="2" type="noConversion"/>
  </si>
  <si>
    <t>경상북도 고령군 우곡면 야정리 971 (도진교)</t>
    <phoneticPr fontId="2" type="noConversion"/>
  </si>
  <si>
    <t>경상남도 거창군 남상면 월평리 855-15 (남하교)</t>
    <phoneticPr fontId="2" type="noConversion"/>
  </si>
  <si>
    <t>경상남도 합천군 대양면 정양리 613 (남정교)</t>
    <phoneticPr fontId="2" type="noConversion"/>
  </si>
  <si>
    <t>경상남도 합천군 적중면 죽고리 922-1 (황강교)</t>
    <phoneticPr fontId="2" type="noConversion"/>
  </si>
  <si>
    <t>경상남도 의령군 낙서면 여의리 674 (정곡양수장 옆)</t>
    <phoneticPr fontId="2" type="noConversion"/>
  </si>
  <si>
    <t>35-30-01</t>
  </si>
  <si>
    <t>128-24-18</t>
  </si>
  <si>
    <t>경상남도 의령군 유곡면 세간리 29-4 (세간교)</t>
    <phoneticPr fontId="2" type="noConversion"/>
  </si>
  <si>
    <t>경상남도 함양군 안의면 금천리 254-1 (안의교)</t>
    <phoneticPr fontId="2" type="noConversion"/>
  </si>
  <si>
    <t>경상남도 산청군 생초면 하촌리 160-6 (고읍교)</t>
    <phoneticPr fontId="2" type="noConversion"/>
  </si>
  <si>
    <t>경상남도 함안군 대산면 서촌리 1446 (악양교 하류)</t>
    <phoneticPr fontId="2" type="noConversion"/>
  </si>
  <si>
    <t>경상남도 함안군 함안면 대산리 1242-2(대사교)</t>
    <phoneticPr fontId="2" type="noConversion"/>
  </si>
  <si>
    <t>경상남도 밀양시 상동면 옥산리 141-2 (상동교)</t>
    <phoneticPr fontId="2" type="noConversion"/>
  </si>
  <si>
    <t>경상남도 밀양시 용평동 963 (활성교 상류)</t>
    <phoneticPr fontId="2" type="noConversion"/>
  </si>
  <si>
    <t>경상남도 밀양시 삼문동 377 (남천교)</t>
    <phoneticPr fontId="2" type="noConversion"/>
  </si>
  <si>
    <t>경상남도 밀양시 남포동 408</t>
    <phoneticPr fontId="2" type="noConversion"/>
  </si>
  <si>
    <t>경상남도 밀양시 삼랑진읍 미전리 894-15 (삼상교)</t>
    <phoneticPr fontId="2" type="noConversion"/>
  </si>
  <si>
    <t>경상남도 양산시 상북면 소토리 1287-47 (효충교)</t>
    <phoneticPr fontId="2" type="noConversion"/>
  </si>
  <si>
    <t>경상남도 양산시 신기동 600 (양산교)</t>
    <phoneticPr fontId="2" type="noConversion"/>
  </si>
  <si>
    <t>경상남도 양산시 물금읍 증산리 136-4 (호포대교)</t>
    <phoneticPr fontId="2" type="noConversion"/>
  </si>
  <si>
    <t>경상북도 경주시 배동 1125-152(망성교)</t>
    <phoneticPr fontId="2" type="noConversion"/>
  </si>
  <si>
    <t>경상북도 경주시 서악동 1491-1 (서천교)</t>
    <phoneticPr fontId="2" type="noConversion"/>
  </si>
  <si>
    <t>경상북도 경주시 천북면 모아리 848</t>
    <phoneticPr fontId="2" type="noConversion"/>
  </si>
  <si>
    <t>경상북도 경주시 강동면 오금리 1046-1 (강동대교)</t>
    <phoneticPr fontId="2" type="noConversion"/>
  </si>
  <si>
    <t>경상북도 경주시 강동면 국당리 산92</t>
    <phoneticPr fontId="2" type="noConversion"/>
  </si>
  <si>
    <t>울산광역시 울주군 언양읍 반송리 1044-91(구수교)</t>
    <phoneticPr fontId="2" type="noConversion"/>
  </si>
  <si>
    <t>울산광역시 울주군 범서읍 사연리 703-1 (사연교)</t>
    <phoneticPr fontId="2" type="noConversion"/>
  </si>
  <si>
    <t>울산광역시 울주군 범서읍 입암리 26-10 (선바위교)</t>
    <phoneticPr fontId="2" type="noConversion"/>
  </si>
  <si>
    <t>울산광역시 울주군 범서읍 구영리 1073-1 (구영교)</t>
    <phoneticPr fontId="2" type="noConversion"/>
  </si>
  <si>
    <t>35-33-41</t>
  </si>
  <si>
    <t>129-14-55</t>
  </si>
  <si>
    <t>울산광역시 남구 무거동 1035-1 (삼호교)</t>
    <phoneticPr fontId="2" type="noConversion"/>
  </si>
  <si>
    <t>경상북도 영덕군 창수면 인량리 606-40 (인량교)</t>
  </si>
  <si>
    <t>36-32-53</t>
  </si>
  <si>
    <t>경상북도 봉화군 명호면 도천리 1378 (도천교)</t>
    <phoneticPr fontId="2" type="noConversion"/>
  </si>
  <si>
    <t>-</t>
    <phoneticPr fontId="2" type="noConversion"/>
  </si>
  <si>
    <t>의성군(위중리)</t>
  </si>
  <si>
    <t>의성군(장송교)</t>
  </si>
  <si>
    <t>대구시(노곡교)</t>
  </si>
  <si>
    <t>경상북도 문경시 호계면 견탄리 577-3 (불정교)</t>
  </si>
  <si>
    <t>경상북도 김천시 지좌동 1046-1 (김천교)</t>
  </si>
  <si>
    <t>경상남도 함안군 대산면 서촌리 산99-2 (악양교 하류)</t>
  </si>
  <si>
    <t>36-32-53.04</t>
  </si>
  <si>
    <t>128-33-53.95</t>
  </si>
  <si>
    <t>35-54-07.66</t>
  </si>
  <si>
    <t>문경</t>
    <phoneticPr fontId="2" type="noConversion"/>
  </si>
  <si>
    <t>합천</t>
    <phoneticPr fontId="2" type="noConversion"/>
  </si>
  <si>
    <t>35-20-09.77</t>
  </si>
  <si>
    <t>128-17-47.16</t>
  </si>
  <si>
    <t>36-33-20.01</t>
  </si>
  <si>
    <t xml:space="preserve">부자식/리드식 </t>
  </si>
  <si>
    <t>수정식/리드식</t>
  </si>
  <si>
    <t>128-31-15.22</t>
  </si>
  <si>
    <t>36-19-40.52</t>
  </si>
  <si>
    <t>리드식</t>
  </si>
  <si>
    <t>경상남도 합천군 대양면 정양리 613 (남정교)</t>
  </si>
  <si>
    <t xml:space="preserve">부자식/레이더 </t>
  </si>
  <si>
    <t>경상남도 산청군 생초면 하촌리 160-6 (고읍교)</t>
  </si>
  <si>
    <t>경상북도 경주시 배동 1125-152(망성교)</t>
  </si>
  <si>
    <t>울산광역시 울주군 범서읍 사연리 531-5 (사연교)</t>
  </si>
  <si>
    <t>129-12-16.19</t>
  </si>
  <si>
    <t>35-34-21.02</t>
  </si>
  <si>
    <t>부산시(동천교)</t>
  </si>
  <si>
    <t>35-13-02.60</t>
  </si>
  <si>
    <t>부산시(세병교)</t>
  </si>
  <si>
    <t>온천천</t>
  </si>
  <si>
    <t>129-04-57.59</t>
  </si>
  <si>
    <t>35-11-48.48</t>
  </si>
  <si>
    <t>부산시(강동교)</t>
  </si>
  <si>
    <t>128-54-20.19</t>
  </si>
  <si>
    <t>35-11-31.48</t>
  </si>
  <si>
    <t>부산시(다대포)</t>
  </si>
  <si>
    <t>128-57-20.35</t>
  </si>
  <si>
    <t>128-13-10.46</t>
  </si>
  <si>
    <t>35-36-49.18</t>
  </si>
  <si>
    <t>울진군(월변교)</t>
  </si>
  <si>
    <t>129-24-05.25</t>
  </si>
  <si>
    <t>36-59-20.07</t>
  </si>
  <si>
    <t>경상남도 합천군 율곡면 항곡리 산3-2 (기리교)</t>
    <phoneticPr fontId="2" type="noConversion"/>
  </si>
  <si>
    <t>합천군(기리교)</t>
    <phoneticPr fontId="2" type="noConversion"/>
  </si>
  <si>
    <t>부산광역시 강서구 죽림동 1069-2 (강동교)</t>
    <phoneticPr fontId="2" type="noConversion"/>
  </si>
  <si>
    <t>부산광역시 금정구 금사동 14-3 (동천교)</t>
    <phoneticPr fontId="2" type="noConversion"/>
  </si>
  <si>
    <t xml:space="preserve"> 경상북도 의성군 비안면 장춘리 111-1 (장송교)</t>
    <phoneticPr fontId="2" type="noConversion"/>
  </si>
  <si>
    <t>대구광역시 북구 노곡동 889-2 (노곡교)</t>
    <phoneticPr fontId="2" type="noConversion"/>
  </si>
  <si>
    <t>부산광역시 연제구 거제동 149-8 (세병교)</t>
    <phoneticPr fontId="2" type="noConversion"/>
  </si>
  <si>
    <t>경상북도 울진군 울진읍 읍내리 105-12 (월변교)</t>
    <phoneticPr fontId="2" type="noConversion"/>
  </si>
  <si>
    <t>부산광역시 사하구 다대동 (홍티1교)</t>
    <phoneticPr fontId="2" type="noConversion"/>
  </si>
  <si>
    <t>울진군(올미골교)</t>
    <phoneticPr fontId="2" type="noConversion"/>
  </si>
  <si>
    <t>남대천</t>
    <phoneticPr fontId="2" type="noConversion"/>
  </si>
  <si>
    <t>경상북도 울진군 울진읍 정림리 911-4 (올미골교)</t>
    <phoneticPr fontId="2" type="noConversion"/>
  </si>
  <si>
    <t>129-19-30.70</t>
    <phoneticPr fontId="2" type="noConversion"/>
  </si>
  <si>
    <t>37-01-50.60</t>
    <phoneticPr fontId="2" type="noConversion"/>
  </si>
  <si>
    <t>무</t>
    <phoneticPr fontId="2" type="noConversion"/>
  </si>
  <si>
    <t>울산광역시 울주군 청량읍 동천리 857-12</t>
    <phoneticPr fontId="2" type="noConversion"/>
  </si>
  <si>
    <t>으로부터 
거리</t>
    <phoneticPr fontId="2" type="noConversion"/>
  </si>
  <si>
    <t>부자식/수정식</t>
    <phoneticPr fontId="2" type="noConversion"/>
  </si>
  <si>
    <t>129-17-05.42</t>
    <phoneticPr fontId="2" type="noConversion"/>
  </si>
  <si>
    <t>35-27-48.46</t>
    <phoneticPr fontId="2" type="noConversion"/>
  </si>
  <si>
    <t>129-18-14.80</t>
    <phoneticPr fontId="2" type="noConversion"/>
  </si>
  <si>
    <t>35-26-02.95</t>
    <phoneticPr fontId="2" type="noConversion"/>
  </si>
  <si>
    <t>영주시(서천교)</t>
  </si>
  <si>
    <t>문경시(봉득교)</t>
  </si>
  <si>
    <t>영주시(안심교)</t>
  </si>
  <si>
    <t>문경시(아호교)</t>
  </si>
  <si>
    <t>군위군(대량교)</t>
  </si>
  <si>
    <t>성주군(작천교)</t>
  </si>
  <si>
    <t>김천시(김천IC1교)</t>
  </si>
  <si>
    <t>진주시(덕천교)</t>
  </si>
  <si>
    <t>영주시(장수교)</t>
  </si>
  <si>
    <t>경상북도 영주시 영주동 470-1 서천교</t>
  </si>
  <si>
    <t>경상북도 문경시 마성면 신현리 631-1</t>
  </si>
  <si>
    <t>경상북도 영주시 안정면 신전리 327-2</t>
  </si>
  <si>
    <t>경상북도 문경시 가은읍 작천리 376-4</t>
  </si>
  <si>
    <t>경상북도 군위군 소보면 위성리 1191-1 대량교</t>
  </si>
  <si>
    <t>경상북도 김천시 부곡동 901-17 (김천IC1교)</t>
  </si>
  <si>
    <t>경상남도 진주시 수곡면 원내리 268-1 (덕천교)</t>
  </si>
  <si>
    <t>128-36-50.00</t>
  </si>
  <si>
    <t>128-33-3.67</t>
  </si>
  <si>
    <t>128-28-23.00</t>
  </si>
  <si>
    <t>128-33-40.92</t>
  </si>
  <si>
    <t>128-15-54.00</t>
  </si>
  <si>
    <t>127-57-28.46</t>
  </si>
  <si>
    <t>128-36-23.47</t>
  </si>
  <si>
    <t>36-49-49.00</t>
  </si>
  <si>
    <t>36-40-9.41</t>
  </si>
  <si>
    <t>36-51-13.77</t>
  </si>
  <si>
    <t>36-38-4.85</t>
  </si>
  <si>
    <t>36-16-23.00</t>
  </si>
  <si>
    <t>36-14-24.26</t>
  </si>
  <si>
    <t>35-47-43.40</t>
  </si>
  <si>
    <t>36-51-34.40</t>
  </si>
  <si>
    <t>128-07-23.53</t>
    <phoneticPr fontId="2" type="noConversion"/>
  </si>
  <si>
    <t>128-03-16.56</t>
    <phoneticPr fontId="2" type="noConversion"/>
  </si>
  <si>
    <t>128-05-51.20</t>
    <phoneticPr fontId="2" type="noConversion"/>
  </si>
  <si>
    <t>36-07-44.57</t>
    <phoneticPr fontId="2" type="noConversion"/>
  </si>
  <si>
    <t>35-09-28.39</t>
    <phoneticPr fontId="2" type="noConversion"/>
  </si>
  <si>
    <t>서천</t>
    <phoneticPr fontId="2" type="noConversion"/>
  </si>
  <si>
    <t>조령천</t>
    <phoneticPr fontId="2" type="noConversion"/>
  </si>
  <si>
    <t>대종천</t>
    <phoneticPr fontId="2" type="noConversion"/>
  </si>
  <si>
    <t>영강</t>
    <phoneticPr fontId="2" type="noConversion"/>
  </si>
  <si>
    <t>위천</t>
    <phoneticPr fontId="2" type="noConversion"/>
  </si>
  <si>
    <t>대가천</t>
    <phoneticPr fontId="2" type="noConversion"/>
  </si>
  <si>
    <t>덕천강</t>
    <phoneticPr fontId="2" type="noConversion"/>
  </si>
  <si>
    <t>죽계천</t>
    <phoneticPr fontId="2" type="noConversion"/>
  </si>
  <si>
    <t>영주시(안심교)</t>
    <phoneticPr fontId="2" type="noConversion"/>
  </si>
  <si>
    <t>영주시(서천교)</t>
    <phoneticPr fontId="2" type="noConversion"/>
  </si>
  <si>
    <t>문경시(봉득교)</t>
    <phoneticPr fontId="2" type="noConversion"/>
  </si>
  <si>
    <t>의성군(장송교)</t>
    <phoneticPr fontId="2" type="noConversion"/>
  </si>
  <si>
    <t>김천시(김천IC1교)</t>
    <phoneticPr fontId="2" type="noConversion"/>
  </si>
  <si>
    <t>성주군(작천교)</t>
    <phoneticPr fontId="2" type="noConversion"/>
  </si>
  <si>
    <t>의성군(위중리)</t>
    <phoneticPr fontId="2" type="noConversion"/>
  </si>
  <si>
    <t>울진군(월변교)</t>
    <phoneticPr fontId="2" type="noConversion"/>
  </si>
  <si>
    <t>국가</t>
    <phoneticPr fontId="2" type="noConversion"/>
  </si>
  <si>
    <t>128-31-15</t>
  </si>
  <si>
    <t>36-19-41</t>
  </si>
  <si>
    <t>일련번호</t>
    <phoneticPr fontId="2" type="noConversion"/>
  </si>
  <si>
    <t>부산시(동천교)</t>
    <phoneticPr fontId="2" type="noConversion"/>
  </si>
  <si>
    <t>지방</t>
    <phoneticPr fontId="2" type="noConversion"/>
  </si>
  <si>
    <t>서낙동강</t>
    <phoneticPr fontId="2" type="noConversion"/>
  </si>
  <si>
    <t>황강</t>
    <phoneticPr fontId="2" type="noConversion"/>
  </si>
  <si>
    <t>낙동강</t>
    <phoneticPr fontId="2" type="noConversion"/>
  </si>
  <si>
    <t>128-33-54</t>
  </si>
  <si>
    <t>35-54-08</t>
  </si>
  <si>
    <t>35-36-49</t>
  </si>
  <si>
    <t>128-13-10</t>
  </si>
  <si>
    <t>128-54-20</t>
  </si>
  <si>
    <t>35-11-31</t>
  </si>
  <si>
    <t>부산광역시 강서구 죽림동 1069-2 (강동교)</t>
  </si>
  <si>
    <t>낙동강동해</t>
    <phoneticPr fontId="2" type="noConversion"/>
  </si>
  <si>
    <t>부산광역시 금정구 금사동 14-3 (동천교)</t>
  </si>
  <si>
    <t>부산광역시 연제구 거제동 149-8 (세병교)</t>
  </si>
  <si>
    <t>부산광역시 사하구 다대동 (홍티1교)</t>
  </si>
  <si>
    <t>경상북도 울진군 울진읍 정림리 911-4 (올미골교)</t>
  </si>
  <si>
    <t>경상북도 울진군 울진읍 읍내리 105-12 (월변교)</t>
  </si>
  <si>
    <t>129-07-06</t>
  </si>
  <si>
    <t>129-04-58</t>
  </si>
  <si>
    <t>128-57-20</t>
  </si>
  <si>
    <t>129-19-31</t>
  </si>
  <si>
    <t>129-24-05</t>
  </si>
  <si>
    <t>35-13-03</t>
  </si>
  <si>
    <t>35-11-48</t>
  </si>
  <si>
    <t>35-03-42</t>
  </si>
  <si>
    <t>37-01-51</t>
  </si>
  <si>
    <t>36-59-20</t>
  </si>
  <si>
    <t>직지사천</t>
    <phoneticPr fontId="2" type="noConversion"/>
  </si>
  <si>
    <t>낙동강</t>
    <phoneticPr fontId="2" type="noConversion"/>
  </si>
  <si>
    <t>낙동강동해권</t>
    <phoneticPr fontId="2" type="noConversion"/>
  </si>
  <si>
    <t>경주시(구길교)</t>
    <phoneticPr fontId="2" type="noConversion"/>
  </si>
  <si>
    <t>경상북도 영주시 아지동 95-2 (장수교)</t>
    <phoneticPr fontId="2" type="noConversion"/>
  </si>
  <si>
    <t>군위군(사직리)</t>
    <phoneticPr fontId="2" type="noConversion"/>
  </si>
  <si>
    <t>경상북도 성주군 수륜면 남은리 23-41</t>
    <phoneticPr fontId="2" type="noConversion"/>
  </si>
  <si>
    <t>무</t>
    <phoneticPr fontId="2" type="noConversion"/>
  </si>
  <si>
    <t>문경시(불정교)</t>
    <phoneticPr fontId="2" type="noConversion"/>
  </si>
  <si>
    <t>의령군(박진교)</t>
    <phoneticPr fontId="2" type="noConversion"/>
  </si>
  <si>
    <t>울산시(동천리)</t>
    <phoneticPr fontId="2" type="noConversion"/>
  </si>
  <si>
    <t>유</t>
    <phoneticPr fontId="2" type="noConversion"/>
  </si>
  <si>
    <t>-</t>
    <phoneticPr fontId="2" type="noConversion"/>
  </si>
  <si>
    <t xml:space="preserve">경상남도 의령군 부림면 경산리 679 </t>
  </si>
  <si>
    <t>관측소명</t>
    <phoneticPr fontId="2" type="noConversion"/>
  </si>
  <si>
    <t>구 관측소명</t>
    <phoneticPr fontId="2" type="noConversion"/>
  </si>
  <si>
    <t>포항시(문덕3교)</t>
    <phoneticPr fontId="2" type="noConversion"/>
  </si>
  <si>
    <t>냉천</t>
    <phoneticPr fontId="2" type="noConversion"/>
  </si>
  <si>
    <t>경상북도 포항시 남구 오천읍 문덕리 131-1번지(문덕3교)</t>
    <phoneticPr fontId="2" type="noConversion"/>
  </si>
  <si>
    <t>129-24-23.08</t>
    <phoneticPr fontId="2" type="noConversion"/>
  </si>
  <si>
    <t>35-57-05.88</t>
    <phoneticPr fontId="2" type="noConversion"/>
  </si>
  <si>
    <t>영주시(장수교)</t>
    <phoneticPr fontId="2" type="noConversion"/>
  </si>
  <si>
    <t>경상북도 영양군 입암면 신구리 704 (청암교)</t>
    <phoneticPr fontId="2" type="noConversion"/>
  </si>
  <si>
    <t>곡선식 표출지점</t>
    <phoneticPr fontId="2" type="noConversion"/>
  </si>
  <si>
    <t>유량자료 표출지점</t>
    <phoneticPr fontId="2" type="noConversion"/>
  </si>
  <si>
    <t>경상북도 경주시 양북면 구길리 1218-1 구길교</t>
    <phoneticPr fontId="2" type="noConversion"/>
  </si>
  <si>
    <t>129-27-56.28</t>
    <phoneticPr fontId="2" type="noConversion"/>
  </si>
  <si>
    <t>35-45-0.94</t>
    <phoneticPr fontId="2" type="noConversion"/>
  </si>
  <si>
    <t>129-07-06.11</t>
    <phoneticPr fontId="2" type="noConversion"/>
  </si>
  <si>
    <t>-</t>
    <phoneticPr fontId="2" type="noConversion"/>
  </si>
  <si>
    <t>35-03-41.59</t>
    <phoneticPr fontId="2" type="noConversion"/>
  </si>
  <si>
    <t>대구광역시 동구 불로동 1107-1 (보성2차APT앞)</t>
    <phoneticPr fontId="2" type="noConversion"/>
  </si>
  <si>
    <t>경상북도 칠곡군 약목면 관호리 산 5</t>
    <phoneticPr fontId="2" type="noConversion"/>
  </si>
  <si>
    <t>-</t>
    <phoneticPr fontId="2" type="noConversion"/>
  </si>
  <si>
    <t>부산시(동서교)</t>
    <phoneticPr fontId="2" type="noConversion"/>
  </si>
  <si>
    <t>서낙동강</t>
    <phoneticPr fontId="2" type="noConversion"/>
  </si>
  <si>
    <t>평강천</t>
    <phoneticPr fontId="2" type="noConversion"/>
  </si>
  <si>
    <t>부산광역시 강서구 강동동 1546-15번지 (동서교)</t>
    <phoneticPr fontId="2" type="noConversion"/>
  </si>
  <si>
    <t>35-11-50.75</t>
    <phoneticPr fontId="2" type="noConversion"/>
  </si>
  <si>
    <t>Taebaeksi(Munhwagyo)</t>
  </si>
  <si>
    <t>Bonghwagun(Daehyeongyo)</t>
  </si>
  <si>
    <t>Bonghwagun(Gwanghoegyo)</t>
  </si>
  <si>
    <t>Bonghwagun(BunCheongyo)</t>
  </si>
  <si>
    <t>Bonghwagun(Docheongyo)</t>
  </si>
  <si>
    <t>Bonghwagun(Bonghwadaegyo)</t>
  </si>
  <si>
    <t>Yeongyanggun(Cheongamgyo)</t>
  </si>
  <si>
    <t>Andongsi(Mukgyegyo)</t>
  </si>
  <si>
    <t>Andongsi(Daesa3gyo)</t>
  </si>
  <si>
    <t>Andongsi(Unsanri)</t>
  </si>
  <si>
    <t>Yecheongun(Gudamgyo)</t>
  </si>
  <si>
    <t>Uiseonggun(Pungjigyo)</t>
  </si>
  <si>
    <t>Yeongjusi(Ansimgyo)</t>
  </si>
  <si>
    <t>Yeongjusi(Jangsugyo)</t>
  </si>
  <si>
    <t>Yeongjusi(Seochongyo)</t>
  </si>
  <si>
    <t>Yeongjusi(Wolhogyo)</t>
  </si>
  <si>
    <t>Yeongjusi(Seoktapgyo)</t>
  </si>
  <si>
    <t>Yecheongun(Mihogyo)</t>
  </si>
  <si>
    <t>Yecheongun(Gopyeonggyo)</t>
  </si>
  <si>
    <t>Yecheongun(Sinyecheongyo)</t>
  </si>
  <si>
    <t>Yecheongun(Sineumri)</t>
  </si>
  <si>
    <t>Yecheongun(Hoeryonggyo)</t>
  </si>
  <si>
    <t>Yecheongun(Sannyanggyo)</t>
  </si>
  <si>
    <t>Mungyeongsi(Ahogyo)</t>
  </si>
  <si>
    <t>Mungyeongsi(Galmagyo)</t>
  </si>
  <si>
    <t>Mungyeongsi(Bongdeukgyo)</t>
  </si>
  <si>
    <t>Mungyeongsi(Buljeonggyo)</t>
  </si>
  <si>
    <t>Mungyeongsi(Gimyongri)</t>
  </si>
  <si>
    <t>Sangjusi(Iangyo)</t>
  </si>
  <si>
    <t>Sangjusi(Byeongseonggyo)</t>
  </si>
  <si>
    <t>Sangjusi(Socheon2gyo)</t>
  </si>
  <si>
    <t>Sangjusi(Hucheongyo)</t>
  </si>
  <si>
    <t>Mungyeongsi(Mareungri)</t>
  </si>
  <si>
    <t>Mungyeongsi(Imokri)</t>
  </si>
  <si>
    <t>Yecheongun(Sangpunggyo)</t>
  </si>
  <si>
    <t>Sangjusi(SangjuboUP)</t>
  </si>
  <si>
    <t>Sangjusi(SangjuboDN)</t>
  </si>
  <si>
    <t>Sangjusi(Gangchanggyo)</t>
  </si>
  <si>
    <t>Uiseonggun(Gumigyo)</t>
  </si>
  <si>
    <t>Gunwigun(Miseonggyo)</t>
  </si>
  <si>
    <t>Uiseonggun(Deokeungyo)</t>
  </si>
  <si>
    <t>Uiseonggun(Biangyo)</t>
  </si>
  <si>
    <t>Uiseonggun(Jangsonggyo)</t>
  </si>
  <si>
    <t>Gunwigun(Byeongsuri)</t>
  </si>
  <si>
    <t>Gunwigun(Hyoryeonggyo)</t>
  </si>
  <si>
    <t>Gunwigun(Museongri)</t>
  </si>
  <si>
    <t>Gunwigun(Sajikri)</t>
  </si>
  <si>
    <t>Gunwigun(Daeranggyo)</t>
  </si>
  <si>
    <t>Uiseonggun(Dongbugyo)</t>
  </si>
  <si>
    <t>Uiseonggun(Wijungri)</t>
  </si>
  <si>
    <t>Uiseonggun(NakdanboUP)</t>
  </si>
  <si>
    <t>Uiseonggun(Nakdangyo)</t>
  </si>
  <si>
    <t>Gumisi(Ilseongyo)</t>
  </si>
  <si>
    <t>Gumisi(GumiboUP)</t>
  </si>
  <si>
    <t>Gumisi(GumiboDN)</t>
  </si>
  <si>
    <t>Gimcheonsi(Jipumgyo)</t>
  </si>
  <si>
    <t>Gimcheonsi(GimcheonIC1gyo)</t>
  </si>
  <si>
    <t>Gimcheonsi(Gimcheongyo)</t>
  </si>
  <si>
    <t>Gimcheonsi(Daedonggyo)</t>
  </si>
  <si>
    <t>Gumisi(Seonjugyo)</t>
  </si>
  <si>
    <t>Gumisi(Yangpogyo)</t>
  </si>
  <si>
    <t>Gumisi(Gumidaegyo)</t>
  </si>
  <si>
    <t>Chilgokgun(ChilgokboUP)</t>
  </si>
  <si>
    <t>Chilgokgun(ChilgokboDN)</t>
  </si>
  <si>
    <t>Chilgokgun(Hogukeuidari)</t>
  </si>
  <si>
    <t>Seongjugun(Seongjudaegyo)</t>
  </si>
  <si>
    <t>Seongjugun(Doseonggyo)</t>
  </si>
  <si>
    <t>Daegusi(GangjungGoryeongboDN)</t>
  </si>
  <si>
    <t>Yeongcheonsi(Danpogyo)</t>
  </si>
  <si>
    <t>Yeongcheonsi(Yeongdonggyo)</t>
  </si>
  <si>
    <t>Yeongcheonsi(Yeongyanggyo)</t>
  </si>
  <si>
    <t>Yeongcheonsi(Geumchanggyo)</t>
  </si>
  <si>
    <t>Bonghwagun(Punghori)</t>
  </si>
  <si>
    <t>Gyeongsansi(Amnyanggyo)</t>
  </si>
  <si>
    <t>Gyeongsansi(Hwansangri)</t>
  </si>
  <si>
    <t>Daegusi(Seongdonggyo)</t>
  </si>
  <si>
    <t>Daegusi(Ansimgyo)</t>
  </si>
  <si>
    <t>Daegusi(Sinamdong)</t>
  </si>
  <si>
    <t>Daegusi(Donghwagyo)</t>
  </si>
  <si>
    <t>Daegusi(Nogockgyo)</t>
  </si>
  <si>
    <t>Daegusi(Sangyeokdaegyo)</t>
  </si>
  <si>
    <t>Daegusi(Seongbukgyo)</t>
  </si>
  <si>
    <t>Daegusi(Gangchanggyo)</t>
  </si>
  <si>
    <t>Daegusi(Maegokri)</t>
  </si>
  <si>
    <t>Seongjugun(Gacheongyo)</t>
  </si>
  <si>
    <t>Seongjugun(Hwajukgyo)</t>
  </si>
  <si>
    <t>Seongjugun(Jackcheongyo)</t>
  </si>
  <si>
    <t>Hapcheongun(Gujeongri)</t>
  </si>
  <si>
    <t>Goryeonggun(Gwiwongyo)</t>
  </si>
  <si>
    <t>Goryeonggun(Hoecheongyo)</t>
  </si>
  <si>
    <t>Goryeonggun(Sachonri)</t>
  </si>
  <si>
    <t>Goryeonggun(Dojingyo)</t>
  </si>
  <si>
    <t>Daegusi(Samunjingyo)</t>
  </si>
  <si>
    <t>Goryeonggun(Goryeonggyo)</t>
  </si>
  <si>
    <t>Daegusi(DalsungboUP)</t>
  </si>
  <si>
    <t>Goryeonggun(DalsungboDN)</t>
  </si>
  <si>
    <t>Daegusi(Seonghari)</t>
  </si>
  <si>
    <t>Daegusi(Naeri)</t>
  </si>
  <si>
    <t>Hapcheongun(Yuljigyo)</t>
  </si>
  <si>
    <t>Hapcheongun(HapcheonchangnyeongboUP)</t>
  </si>
  <si>
    <t>Hapcheongun(HapcheonchangnyeongboDN)</t>
  </si>
  <si>
    <t>Geochanggun(Namhagyo)</t>
  </si>
  <si>
    <t>Hapcheongun(Namjeonggyo)</t>
  </si>
  <si>
    <t>Hapcheongun(Girigyo)</t>
  </si>
  <si>
    <t>Hapcheongun(Hwangganggyo)</t>
  </si>
  <si>
    <t>Hapcheongun(Jeokpogyo)</t>
  </si>
  <si>
    <t>Uiryeonggun(Daegokgyo)</t>
  </si>
  <si>
    <t>Changnyeonggun(Yueogyo)</t>
  </si>
  <si>
    <t>Uiryeonggun(Bakjingyo)</t>
  </si>
  <si>
    <t>Uiryeonggun(Segangyo)</t>
  </si>
  <si>
    <t>Hamyanggun(Anuigyo)</t>
  </si>
  <si>
    <t>Sancheonggun(Goeupgyo)</t>
  </si>
  <si>
    <t>Sancheong-gun(Soigyo)</t>
  </si>
  <si>
    <t>Sancheong-gun(Mukgokgyo)</t>
  </si>
  <si>
    <t>Jinjusi(Deokcheongyo)</t>
  </si>
  <si>
    <t>Goseonggun(Dumungyo)</t>
  </si>
  <si>
    <t>Hamangun(Songdogyo)</t>
  </si>
  <si>
    <t>Jinjusi(Oksangyo)</t>
  </si>
  <si>
    <t>Jinjusi(Deogori)</t>
  </si>
  <si>
    <t>Jinjusi(Wolganggyo)</t>
  </si>
  <si>
    <t>Jinjusi(Jangbakgyo)</t>
  </si>
  <si>
    <t>Uiryeonggun(Gongdangyo)</t>
  </si>
  <si>
    <t>Uiryeonggun(Jeongamgyo)</t>
  </si>
  <si>
    <t>Hamangun(Seochonri)</t>
  </si>
  <si>
    <t>Hamangun(Daesagyo)</t>
  </si>
  <si>
    <t>Uiryeonggun(Seongsanri)</t>
  </si>
  <si>
    <t>Miryangsi(Pangokgyo)</t>
  </si>
  <si>
    <t>Changnyeonggun(Gangri)</t>
  </si>
  <si>
    <t>Hamangun(Gyenaeri)</t>
  </si>
  <si>
    <t>Hamangun(Soranggyo)</t>
  </si>
  <si>
    <t>Hamangun(Changnyeong·HamanboDN)</t>
  </si>
  <si>
    <t>Changnyeonggun(Changnyeong·HamanboUP)</t>
  </si>
  <si>
    <t>Changnyeonggun(Cheongamri)</t>
  </si>
  <si>
    <t>Miryangsi(Ingyo)</t>
  </si>
  <si>
    <t>Changwonsi(Susandaegyo)</t>
  </si>
  <si>
    <t>Gimhaesi(Oseogyo)</t>
  </si>
  <si>
    <t>Gyeongjusi(Uigokgyo)</t>
  </si>
  <si>
    <t>Cheongdogun(Wonri)</t>
  </si>
  <si>
    <t>Miryangsi(Sangdonggyo)</t>
  </si>
  <si>
    <t>Miryangsi(Geumgokri)</t>
  </si>
  <si>
    <t>Miryangsi(Yongpyeongdong)</t>
  </si>
  <si>
    <t>Miryangsi(Namcheongyo)</t>
  </si>
  <si>
    <t>Miryangsi(Nampodong)</t>
  </si>
  <si>
    <t>Miryangsi(Samsanggyo)</t>
  </si>
  <si>
    <t>Miryangsi(Samnangjin)</t>
  </si>
  <si>
    <t>Gimhaesi(Wolchonri)</t>
  </si>
  <si>
    <t>Yangsansi(Hyochunggyo)</t>
  </si>
  <si>
    <t>Yangsansi(Yangsangyo)</t>
  </si>
  <si>
    <t>Yangsansi(Hopodaegyo)</t>
  </si>
  <si>
    <t>Busansi(Gupodaegyo)</t>
  </si>
  <si>
    <t>Gimhaesi(Jeongcheongyo)</t>
  </si>
  <si>
    <t>Busansi(Dongseogyo)</t>
  </si>
  <si>
    <t>Busansi(Gangdonggyo)</t>
  </si>
  <si>
    <t>Gyeongjusi(Mangseonggyo)</t>
  </si>
  <si>
    <t>Gyeongjusi(Hyohyeongyo)</t>
  </si>
  <si>
    <t>Gyeongjusi(Seocheongyo)</t>
  </si>
  <si>
    <t>Gyeongjusi(Moari)</t>
  </si>
  <si>
    <t>Gyeongjusi(Dalseonggyo)</t>
  </si>
  <si>
    <t>Gyeongjusi(Gangdongdaegyo)</t>
  </si>
  <si>
    <t>Gyeongjusi(Gukdangri)</t>
  </si>
  <si>
    <t>Pohangsi(Hyeongsangyo)</t>
  </si>
  <si>
    <t>Ulsansi(Gusugyo)</t>
  </si>
  <si>
    <t>Ulsansi(Sayeongyo)</t>
  </si>
  <si>
    <t>Ulsansi(Seonbawigyo)</t>
  </si>
  <si>
    <t>Ulsansi(Guyeonggyo)</t>
  </si>
  <si>
    <t>Ulsansi(Samhogyo)</t>
  </si>
  <si>
    <t>Ulsansi(Taehwagyo)</t>
  </si>
  <si>
    <t>Ulsansi(Sindapgyo)</t>
  </si>
  <si>
    <t>Ulsansi(Byeongyeonggyo)</t>
  </si>
  <si>
    <t>Ulsansi(Tongcheongyo)</t>
  </si>
  <si>
    <t>Ulsansi(Dongcheonri)</t>
  </si>
  <si>
    <t>Ulsansi(Deoksingyo)</t>
  </si>
  <si>
    <t>Busansi(Dongcheongyo)</t>
  </si>
  <si>
    <t>Busansi(Wondonggyo)</t>
  </si>
  <si>
    <t>Busansi(Sebyeonggyo)</t>
  </si>
  <si>
    <t>Busansi(Dadaepo)</t>
  </si>
  <si>
    <t>Uljingun(Olmigolgyo)</t>
  </si>
  <si>
    <t>Uljingun(Wolbyeongyo)</t>
  </si>
  <si>
    <t>Uljingun(Susangyo)</t>
  </si>
  <si>
    <t>Yeongdeokgun(Illyanggyo)</t>
  </si>
  <si>
    <t>Yeongdeokgun(Yeongdeokdaegyo)</t>
  </si>
  <si>
    <t>Pohangsi(Mundeok3gyo)</t>
  </si>
  <si>
    <t>Gyeongjusi(Gugilgyo)</t>
  </si>
  <si>
    <t>레이더/리드식</t>
  </si>
  <si>
    <t>리드식/레이더</t>
  </si>
  <si>
    <t>129-12-09</t>
  </si>
  <si>
    <t>35-44-07.74</t>
  </si>
  <si>
    <t>35-44-08</t>
  </si>
  <si>
    <t>129-12-53</t>
  </si>
  <si>
    <t>35-49-44.39</t>
  </si>
  <si>
    <t>35-49-44</t>
  </si>
  <si>
    <t>Yeongyanggun(Suha3gyo)</t>
  </si>
  <si>
    <t>장수포천</t>
  </si>
  <si>
    <t>129-16-08</t>
  </si>
  <si>
    <t>36-49-48.49</t>
  </si>
  <si>
    <t>36-49-48</t>
  </si>
  <si>
    <t>부산시(좌수영교)</t>
  </si>
  <si>
    <t>Busansi(jwarsuyounggyo)</t>
  </si>
  <si>
    <t>129-07-15</t>
  </si>
  <si>
    <t>35-10-28.92</t>
  </si>
  <si>
    <t>35-10-29</t>
  </si>
  <si>
    <t>포항시(곡강교)</t>
  </si>
  <si>
    <t>Pohangsi(Gokkanggyo)</t>
  </si>
  <si>
    <t>곡강천</t>
  </si>
  <si>
    <t>129-20-46</t>
  </si>
  <si>
    <t>36-07-18.85</t>
  </si>
  <si>
    <t>36-07-19</t>
  </si>
  <si>
    <t>영주시(와평교)</t>
  </si>
  <si>
    <t>Yeongjusi(Wapyeonggyo)</t>
  </si>
  <si>
    <t>토일천</t>
  </si>
  <si>
    <t>128-43-51</t>
  </si>
  <si>
    <t>36-47-15.27</t>
  </si>
  <si>
    <t>36-47-15</t>
  </si>
  <si>
    <t>부산시(회동저수지)</t>
  </si>
  <si>
    <t>129-07-05</t>
  </si>
  <si>
    <t>35-14-10.06</t>
  </si>
  <si>
    <t>35-14-10</t>
  </si>
  <si>
    <t>양산시(삼계교)</t>
  </si>
  <si>
    <t>Yangsansi(Samgyegyo)</t>
  </si>
  <si>
    <t>129-03-48</t>
  </si>
  <si>
    <t>양산시(어곡1교)</t>
  </si>
  <si>
    <t>Yangsansi(Eogok1gyo)</t>
  </si>
  <si>
    <t>유산천</t>
  </si>
  <si>
    <t>129-01-41</t>
  </si>
  <si>
    <t>35-22-26.42</t>
  </si>
  <si>
    <t>35-22-26</t>
  </si>
  <si>
    <t>부산시(대동낙동강교)</t>
    <phoneticPr fontId="2" type="noConversion"/>
  </si>
  <si>
    <t>부산광역시 강서구 대저1동 671-19</t>
    <phoneticPr fontId="2" type="noConversion"/>
  </si>
  <si>
    <t>128-58-34.45</t>
    <phoneticPr fontId="2" type="noConversion"/>
  </si>
  <si>
    <t>35-13-30.20</t>
    <phoneticPr fontId="2" type="noConversion"/>
  </si>
  <si>
    <t>경주시(월산교)</t>
    <phoneticPr fontId="2" type="noConversion"/>
  </si>
  <si>
    <t>Gyeongjusi(Wolsangyo)</t>
    <phoneticPr fontId="2" type="noConversion"/>
  </si>
  <si>
    <t>경주시(교촌교)</t>
    <phoneticPr fontId="2" type="noConversion"/>
  </si>
  <si>
    <t>Gyeongjusi(Gyochongyo)</t>
    <phoneticPr fontId="2" type="noConversion"/>
  </si>
  <si>
    <t>영양군(수하3교)</t>
    <phoneticPr fontId="2" type="noConversion"/>
  </si>
  <si>
    <t>경북 경주시 내남면 노곡리 957-1</t>
    <phoneticPr fontId="2" type="noConversion"/>
  </si>
  <si>
    <t>129-12-08.62</t>
    <phoneticPr fontId="2" type="noConversion"/>
  </si>
  <si>
    <t>경북 경주시 교동 153-1</t>
    <phoneticPr fontId="2" type="noConversion"/>
  </si>
  <si>
    <t>129-12-52.78</t>
    <phoneticPr fontId="2" type="noConversion"/>
  </si>
  <si>
    <t>경북 영양군 수비면 수하리 297-1</t>
    <phoneticPr fontId="2" type="noConversion"/>
  </si>
  <si>
    <t>129-16-08.30</t>
    <phoneticPr fontId="2" type="noConversion"/>
  </si>
  <si>
    <t>부산 해운대구 재송동 703-5</t>
    <phoneticPr fontId="2" type="noConversion"/>
  </si>
  <si>
    <t>129-07-14.68</t>
    <phoneticPr fontId="2" type="noConversion"/>
  </si>
  <si>
    <t>경북 포항시 북구 흥해읍 용천리 1333-1</t>
    <phoneticPr fontId="2" type="noConversion"/>
  </si>
  <si>
    <t>129-20-45.68</t>
    <phoneticPr fontId="2" type="noConversion"/>
  </si>
  <si>
    <t>경북 영주시 평은면 천본리 62-6</t>
    <phoneticPr fontId="2" type="noConversion"/>
  </si>
  <si>
    <t>128-43-50.94</t>
    <phoneticPr fontId="2" type="noConversion"/>
  </si>
  <si>
    <t>부산광역시 금정구 회동동 산58-3</t>
    <phoneticPr fontId="2" type="noConversion"/>
  </si>
  <si>
    <t>129-07-05.07</t>
    <phoneticPr fontId="2" type="noConversion"/>
  </si>
  <si>
    <t>경상남도 양산시 상북면 상삼리 41-6</t>
    <phoneticPr fontId="2" type="noConversion"/>
  </si>
  <si>
    <t>129-03-48.07</t>
    <phoneticPr fontId="2" type="noConversion"/>
  </si>
  <si>
    <t>경상남도 양산시 어곡동 175</t>
    <phoneticPr fontId="2" type="noConversion"/>
  </si>
  <si>
    <t>129-01-40.62</t>
    <phoneticPr fontId="2" type="noConversion"/>
  </si>
  <si>
    <t>35-25-19.45</t>
    <phoneticPr fontId="2" type="noConversion"/>
  </si>
  <si>
    <t>35-25-19</t>
    <phoneticPr fontId="2" type="noConversion"/>
  </si>
  <si>
    <t>레이더(2)</t>
    <phoneticPr fontId="2" type="noConversion"/>
  </si>
  <si>
    <t>부자식/리드식</t>
    <phoneticPr fontId="2" type="noConversion"/>
  </si>
  <si>
    <t>리드식/레이더</t>
    <phoneticPr fontId="2" type="noConversion"/>
  </si>
  <si>
    <t>레이더/수정식</t>
    <phoneticPr fontId="2" type="noConversion"/>
  </si>
  <si>
    <t>레이더/부자식/수정식</t>
    <phoneticPr fontId="2" type="noConversion"/>
  </si>
  <si>
    <t>부자식/레이더</t>
    <phoneticPr fontId="2" type="noConversion"/>
  </si>
  <si>
    <t>수정식/레이더</t>
    <phoneticPr fontId="2" type="noConversion"/>
  </si>
  <si>
    <t>압력식/수정식</t>
    <phoneticPr fontId="2" type="noConversion"/>
  </si>
  <si>
    <t>레이더/레이더</t>
    <phoneticPr fontId="2" type="noConversion"/>
  </si>
  <si>
    <t>Busansi(Daedongnakdongganggyo)</t>
    <phoneticPr fontId="2" type="noConversion"/>
  </si>
  <si>
    <t>레이더</t>
    <phoneticPr fontId="2" type="noConversion"/>
  </si>
  <si>
    <t>냉천</t>
  </si>
  <si>
    <t>전송방법</t>
    <phoneticPr fontId="2" type="noConversion"/>
  </si>
  <si>
    <t>거제시(독봉교)</t>
    <phoneticPr fontId="2" type="noConversion"/>
  </si>
  <si>
    <t>김해시(연지교)</t>
    <phoneticPr fontId="2" type="noConversion"/>
  </si>
  <si>
    <t>창원시(창원천제1호교)</t>
    <phoneticPr fontId="2" type="noConversion"/>
  </si>
  <si>
    <t>경산시(용천교)</t>
    <phoneticPr fontId="2" type="noConversion"/>
  </si>
  <si>
    <t>경산시(하주교)</t>
    <phoneticPr fontId="2" type="noConversion"/>
  </si>
  <si>
    <t>경주시(구황교)</t>
    <phoneticPr fontId="2" type="noConversion"/>
  </si>
  <si>
    <t>경주시(부곡교)</t>
    <phoneticPr fontId="2" type="noConversion"/>
  </si>
  <si>
    <t>경주시(우박대교)</t>
    <phoneticPr fontId="2" type="noConversion"/>
  </si>
  <si>
    <t>경주시(지일교)</t>
    <phoneticPr fontId="2" type="noConversion"/>
  </si>
  <si>
    <t>구미시(도량교)</t>
    <phoneticPr fontId="2" type="noConversion"/>
  </si>
  <si>
    <t>김천시(앞들교)</t>
    <phoneticPr fontId="2" type="noConversion"/>
  </si>
  <si>
    <t>영천시(고도2교)</t>
    <phoneticPr fontId="2" type="noConversion"/>
  </si>
  <si>
    <t>영천시(대구대교)</t>
    <phoneticPr fontId="2" type="noConversion"/>
  </si>
  <si>
    <t>영천시(도동교)</t>
    <phoneticPr fontId="2" type="noConversion"/>
  </si>
  <si>
    <t>칠곡군(용산교)</t>
    <phoneticPr fontId="2" type="noConversion"/>
  </si>
  <si>
    <t>포항시(남천교)</t>
    <phoneticPr fontId="2" type="noConversion"/>
  </si>
  <si>
    <t>대구시(운암교)</t>
    <phoneticPr fontId="2" type="noConversion"/>
  </si>
  <si>
    <t>부산시(범천동)</t>
    <phoneticPr fontId="2" type="noConversion"/>
  </si>
  <si>
    <t>부산시(삼덕교)</t>
    <phoneticPr fontId="2" type="noConversion"/>
  </si>
  <si>
    <t>울산시(남창3교)</t>
    <phoneticPr fontId="2" type="noConversion"/>
  </si>
  <si>
    <t>대구시(지저교)</t>
    <phoneticPr fontId="2" type="noConversion"/>
  </si>
  <si>
    <t>대구시(차천2교)</t>
    <phoneticPr fontId="2" type="noConversion"/>
  </si>
  <si>
    <t>대구시(구라2교)</t>
    <phoneticPr fontId="2" type="noConversion"/>
  </si>
  <si>
    <t>대구시(불로천교)</t>
    <phoneticPr fontId="2" type="noConversion"/>
  </si>
  <si>
    <t>대구시(달서교)</t>
    <phoneticPr fontId="2" type="noConversion"/>
  </si>
  <si>
    <t>대구시(동신교)</t>
    <phoneticPr fontId="2" type="noConversion"/>
  </si>
  <si>
    <t>대구시(신천교)</t>
    <phoneticPr fontId="2" type="noConversion"/>
  </si>
  <si>
    <t>대구시(수성교)</t>
    <phoneticPr fontId="2" type="noConversion"/>
  </si>
  <si>
    <t>부산시(학장3호교)</t>
    <phoneticPr fontId="2" type="noConversion"/>
  </si>
  <si>
    <t>울산시(웅촌교)</t>
    <phoneticPr fontId="2" type="noConversion"/>
  </si>
  <si>
    <t>김해시(대청천교)</t>
    <phoneticPr fontId="2" type="noConversion"/>
  </si>
  <si>
    <t>부산시(지사천1교)</t>
    <phoneticPr fontId="2" type="noConversion"/>
  </si>
  <si>
    <t>거제시(덕포2교)</t>
    <phoneticPr fontId="2" type="noConversion"/>
  </si>
  <si>
    <t>거창군(농산교)</t>
    <phoneticPr fontId="2" type="noConversion"/>
  </si>
  <si>
    <t>김해시(주천교)</t>
    <phoneticPr fontId="2" type="noConversion"/>
  </si>
  <si>
    <t>남해군(봉천교)</t>
    <phoneticPr fontId="2" type="noConversion"/>
  </si>
  <si>
    <t>남해군(봉화교)</t>
    <phoneticPr fontId="2" type="noConversion"/>
  </si>
  <si>
    <t>남해군(금서교)</t>
    <phoneticPr fontId="2" type="noConversion"/>
  </si>
  <si>
    <t>밀양시(소고교)</t>
    <phoneticPr fontId="2" type="noConversion"/>
  </si>
  <si>
    <t>사천시(솥골교)</t>
    <phoneticPr fontId="2" type="noConversion"/>
  </si>
  <si>
    <t>의령군(어은동교)</t>
    <phoneticPr fontId="2" type="noConversion"/>
  </si>
  <si>
    <t>의령군(백곡교)</t>
    <phoneticPr fontId="2" type="noConversion"/>
  </si>
  <si>
    <t>진주시(방촌2교)</t>
    <phoneticPr fontId="2" type="noConversion"/>
  </si>
  <si>
    <t>창원시(진북2교)</t>
    <phoneticPr fontId="2" type="noConversion"/>
  </si>
  <si>
    <t>창원시(석전3교)</t>
    <phoneticPr fontId="2" type="noConversion"/>
  </si>
  <si>
    <t>창원시(마산교)</t>
    <phoneticPr fontId="2" type="noConversion"/>
  </si>
  <si>
    <t>함안군(용암교)</t>
    <phoneticPr fontId="2" type="noConversion"/>
  </si>
  <si>
    <t>함양군(다곡교)</t>
    <phoneticPr fontId="2" type="noConversion"/>
  </si>
  <si>
    <t>부산시(달음교)</t>
    <phoneticPr fontId="2" type="noConversion"/>
  </si>
  <si>
    <t>울산시(신명교)</t>
    <phoneticPr fontId="2" type="noConversion"/>
  </si>
  <si>
    <t>울산시(각석1교)</t>
    <phoneticPr fontId="2" type="noConversion"/>
  </si>
  <si>
    <t>울산시(복안교)</t>
    <phoneticPr fontId="2" type="noConversion"/>
  </si>
  <si>
    <t>울산시(지헌교)</t>
    <phoneticPr fontId="2" type="noConversion"/>
  </si>
  <si>
    <t>울산시(청백교)</t>
    <phoneticPr fontId="2" type="noConversion"/>
  </si>
  <si>
    <t>남원시(람천교)</t>
    <phoneticPr fontId="2" type="noConversion"/>
  </si>
  <si>
    <t>태백시(보드미교)</t>
    <phoneticPr fontId="2" type="noConversion"/>
  </si>
  <si>
    <t>울진군(천전교)</t>
    <phoneticPr fontId="2" type="noConversion"/>
  </si>
  <si>
    <t>울진군(기성교)</t>
    <phoneticPr fontId="2" type="noConversion"/>
  </si>
  <si>
    <t>울진군(광품교)</t>
    <phoneticPr fontId="2" type="noConversion"/>
  </si>
  <si>
    <t>봉화군(삼계1교)</t>
    <phoneticPr fontId="2" type="noConversion"/>
  </si>
  <si>
    <t>문경시(경천저수지)</t>
    <phoneticPr fontId="2" type="noConversion"/>
  </si>
  <si>
    <t>문경시(비아교)</t>
    <phoneticPr fontId="2" type="noConversion"/>
  </si>
  <si>
    <t>영양군(석보교)</t>
    <phoneticPr fontId="2" type="noConversion"/>
  </si>
  <si>
    <t>영양군(송정교)</t>
    <phoneticPr fontId="2" type="noConversion"/>
  </si>
  <si>
    <t>영양군(섬촌교)</t>
    <phoneticPr fontId="2" type="noConversion"/>
  </si>
  <si>
    <t>영양군(오리교)</t>
    <phoneticPr fontId="2" type="noConversion"/>
  </si>
  <si>
    <t>안동시(송야교)</t>
    <phoneticPr fontId="2" type="noConversion"/>
  </si>
  <si>
    <t>안동시(문미교)</t>
    <phoneticPr fontId="2" type="noConversion"/>
  </si>
  <si>
    <t>안동시(초동교)</t>
    <phoneticPr fontId="2" type="noConversion"/>
  </si>
  <si>
    <t>안동시(신성2교)</t>
    <phoneticPr fontId="2" type="noConversion"/>
  </si>
  <si>
    <t>의성군(목촌교)</t>
    <phoneticPr fontId="2" type="noConversion"/>
  </si>
  <si>
    <t>의성군(고산교)</t>
    <phoneticPr fontId="2" type="noConversion"/>
  </si>
  <si>
    <t>산청군(삼성교)</t>
    <phoneticPr fontId="2" type="noConversion"/>
  </si>
  <si>
    <t>경산시(계하교)</t>
    <phoneticPr fontId="2" type="noConversion"/>
  </si>
  <si>
    <t>합천군(산주교)</t>
    <phoneticPr fontId="2" type="noConversion"/>
  </si>
  <si>
    <t>구미시(강동교)</t>
    <phoneticPr fontId="2" type="noConversion"/>
  </si>
  <si>
    <t>김천시(신룡교)</t>
    <phoneticPr fontId="2" type="noConversion"/>
  </si>
  <si>
    <t>상주시(중소1교)</t>
    <phoneticPr fontId="2" type="noConversion"/>
  </si>
  <si>
    <t>상주시(퇴동교)</t>
    <phoneticPr fontId="2" type="noConversion"/>
  </si>
  <si>
    <t>성주군(성주저수지)</t>
    <phoneticPr fontId="2" type="noConversion"/>
  </si>
  <si>
    <t>성주군(성산교)</t>
    <phoneticPr fontId="2" type="noConversion"/>
  </si>
  <si>
    <t>성주군(학산교)</t>
    <phoneticPr fontId="2" type="noConversion"/>
  </si>
  <si>
    <t>영덕군(만세교)</t>
    <phoneticPr fontId="2" type="noConversion"/>
  </si>
  <si>
    <t>영천시(화룡교)</t>
    <phoneticPr fontId="2" type="noConversion"/>
  </si>
  <si>
    <t>예천군(독양2교)</t>
    <phoneticPr fontId="2" type="noConversion"/>
  </si>
  <si>
    <t>예천군(용산교)</t>
    <phoneticPr fontId="2" type="noConversion"/>
  </si>
  <si>
    <t>예천군(제곡교)</t>
    <phoneticPr fontId="2" type="noConversion"/>
  </si>
  <si>
    <t>의성군(봉황교)</t>
    <phoneticPr fontId="2" type="noConversion"/>
  </si>
  <si>
    <t>청도군(소라교)</t>
    <phoneticPr fontId="2" type="noConversion"/>
  </si>
  <si>
    <t>청송군(마평교)</t>
    <phoneticPr fontId="2" type="noConversion"/>
  </si>
  <si>
    <t>포항시(문덕2교)</t>
    <phoneticPr fontId="2" type="noConversion"/>
  </si>
  <si>
    <t>포항시(송내교)</t>
    <phoneticPr fontId="2" type="noConversion"/>
  </si>
  <si>
    <t>포항시(인비교)</t>
    <phoneticPr fontId="2" type="noConversion"/>
  </si>
  <si>
    <t>포항시(문충교)</t>
    <phoneticPr fontId="2" type="noConversion"/>
  </si>
  <si>
    <t>청도군(유천교)</t>
    <phoneticPr fontId="2" type="noConversion"/>
  </si>
  <si>
    <t>Geojesi(Dokbonggyo)</t>
  </si>
  <si>
    <t>Gimhaesi(Yeonjigyo)</t>
  </si>
  <si>
    <t>Changwonsi(Changwoncheonje1hogyo)</t>
  </si>
  <si>
    <t>Gyeongsansi(Yongcheongyo)</t>
  </si>
  <si>
    <t>Gyeongsansi(Hajugyo)</t>
  </si>
  <si>
    <t>Gyeongjusi(Guhwanggyo)</t>
  </si>
  <si>
    <t>Gyeongjusi(Bugokgyo)</t>
  </si>
  <si>
    <t>Gyeongjusi(Wubakdaegyo)</t>
  </si>
  <si>
    <t>Gyeongjusi(Jiilgyo)</t>
  </si>
  <si>
    <t>Gumisi(Doryanggyo)</t>
  </si>
  <si>
    <t>Gimcheonsi(Apdeulgyo)</t>
  </si>
  <si>
    <t>Yeongcheonsi(Godo2gyo)</t>
  </si>
  <si>
    <t>Yeongcheonsi(Daegudaegyo)</t>
  </si>
  <si>
    <t>Yeongcheonsi(Dodonggyo)</t>
  </si>
  <si>
    <t>Chilgokgun(Yongsangyo)</t>
  </si>
  <si>
    <t>Pohangsi(Namcheongyo)</t>
  </si>
  <si>
    <t>Daegusi(Unamgyo)</t>
  </si>
  <si>
    <t>Busansi(Beomcheondong)</t>
  </si>
  <si>
    <t>Busansi(Samdeokgyo)</t>
  </si>
  <si>
    <t>Ulsansi(Namchang3gyo)</t>
  </si>
  <si>
    <t>Daegusi(Jijeogyo)</t>
  </si>
  <si>
    <t>Daegusi(Chacheon2gyo)</t>
  </si>
  <si>
    <t>Daegusi(Gura2gyo)</t>
  </si>
  <si>
    <t>Daegusi(Bullocheongyo)</t>
  </si>
  <si>
    <t>Daegusi(Dalseogyo)</t>
  </si>
  <si>
    <t>Daegusi(Dongsingyo)</t>
  </si>
  <si>
    <t>Daegusi(Sincheongyo)</t>
  </si>
  <si>
    <t>Daegusi(Suseonggyo)</t>
  </si>
  <si>
    <t>Busansi(Hakjang3hogyo)</t>
  </si>
  <si>
    <t>Ulsansi(Ungchongyo)</t>
  </si>
  <si>
    <t>Gimhaesi(Daecheongcheongyo)</t>
  </si>
  <si>
    <t>Busansi(Jisacheon1gyo)</t>
  </si>
  <si>
    <t>Geojesi(Deokpo2gyo)</t>
  </si>
  <si>
    <t>Geochanggun(Nongsangyo)</t>
  </si>
  <si>
    <t>Gimhaesi(Jucheongyo)</t>
  </si>
  <si>
    <t>Namhaegun(Bongcheongyo)</t>
  </si>
  <si>
    <t>Namhaegun(Bonghwagyo)</t>
  </si>
  <si>
    <t>Namhaegun(Geumseogyo)</t>
  </si>
  <si>
    <t>Milyangsi(Sogogyo)</t>
  </si>
  <si>
    <t>Sacheonsi(Sotgolgyo)</t>
  </si>
  <si>
    <t>Uiryeonggun(Eoeundonggyo)</t>
  </si>
  <si>
    <t>Uiryeonggun(Baekgokgyo)</t>
  </si>
  <si>
    <t>Jinjusi(Bangchon2gyo)</t>
  </si>
  <si>
    <t>Changwonsi(Jinbuk2gyo)</t>
  </si>
  <si>
    <t>Changwonsi(Seokjeon3gyo)</t>
  </si>
  <si>
    <t>Changwonsi(Masangyo)</t>
  </si>
  <si>
    <t>Hamangun(Yongamgyo)</t>
  </si>
  <si>
    <t>Hamyanggun(Dagokgyo)</t>
  </si>
  <si>
    <t>Busansi(Daleumgyo)</t>
  </si>
  <si>
    <t>Ulsansi(Sinmyeonggyo)</t>
  </si>
  <si>
    <t>Ulsansi(Gakseok1gyo)</t>
  </si>
  <si>
    <t>Ulsansi(Bokangyo)</t>
  </si>
  <si>
    <t>Ulsansi(Jiheongyo)</t>
  </si>
  <si>
    <t>Ulsansi(Cheongbaekgyo)</t>
  </si>
  <si>
    <t>Namwonsi(Ramcheongyo)</t>
  </si>
  <si>
    <t>Taebaeksi(Boduemigyo)</t>
  </si>
  <si>
    <t>Uljingun(Cheonjeongyo)</t>
  </si>
  <si>
    <t>Uljingun(Giseonggyo)</t>
  </si>
  <si>
    <t>Uljingun(Gwangpumgyo)</t>
  </si>
  <si>
    <t>Bonghwagun(Samgye1gyo)</t>
  </si>
  <si>
    <t>Mungyeongsi(Biagyo)</t>
  </si>
  <si>
    <t>Yeongyanggun(Seokbogyo)</t>
  </si>
  <si>
    <t>Yeongyanggun(Songjeonggyo)</t>
  </si>
  <si>
    <t>Yeongyanggun(Seomchongyo)</t>
  </si>
  <si>
    <t>Yeongyanggun(Origyo)</t>
  </si>
  <si>
    <t>Andongsi(Songyagyo)</t>
  </si>
  <si>
    <t>Andongsi(Munmigyo)</t>
  </si>
  <si>
    <t>Andongsi(Chodonggyo)</t>
  </si>
  <si>
    <t>Andongsi(Sinseong2gyo)</t>
  </si>
  <si>
    <t>Uiseonggun(Mokchongyo)</t>
  </si>
  <si>
    <t>Uiseonggun(Gosangyo)</t>
  </si>
  <si>
    <t>Sancheonggun(Samseonggyo)</t>
  </si>
  <si>
    <t>Gyeongsansi(Gyehagyo)</t>
  </si>
  <si>
    <t>Hapcheongun(Sanjugyo)</t>
  </si>
  <si>
    <t>Gumisi(Gangdonggyo)</t>
  </si>
  <si>
    <t>Gimcheonsi(Sinryonggyo)</t>
  </si>
  <si>
    <t>Sangjusi(Jungso1gyo)</t>
  </si>
  <si>
    <t>Sangjusi(Toedonggyo)</t>
  </si>
  <si>
    <t>Seongjugun(Seongjujeosuji)</t>
  </si>
  <si>
    <t>Seongjugun(Seongsangyo)</t>
  </si>
  <si>
    <t>Seongjugun(Haksangyo)</t>
  </si>
  <si>
    <t>Yeongdeokgun(Mansegyo)</t>
  </si>
  <si>
    <t>Yeongcheonsi(Hwaryonggyo)</t>
  </si>
  <si>
    <t>Yecheongun(Dokyang2gyo)</t>
  </si>
  <si>
    <t>Yecheongun(Yongsangyo)</t>
  </si>
  <si>
    <t>Yecheongun(Jegokgyo)</t>
  </si>
  <si>
    <t>Uiseonggun(Bonghwanggyo)</t>
  </si>
  <si>
    <t>Cheongdogun(Soragyo)</t>
  </si>
  <si>
    <t>Cheongsonggun(Mapyeonggyo)</t>
  </si>
  <si>
    <t>Pohangsi(Mundeok2gyo)</t>
  </si>
  <si>
    <t>Pohangsi(Songnaegyo)</t>
  </si>
  <si>
    <t>Pohangsi(Inbigyo)</t>
  </si>
  <si>
    <t>Pohangsi(Munchunggyo)</t>
  </si>
  <si>
    <t>Cheongdogun(Yucheongyo)</t>
  </si>
  <si>
    <t>낙동강남해권</t>
  </si>
  <si>
    <t>해반천</t>
  </si>
  <si>
    <t>창원천</t>
  </si>
  <si>
    <t>청통천</t>
  </si>
  <si>
    <t>조산천</t>
  </si>
  <si>
    <t>칠평천</t>
  </si>
  <si>
    <t>소현천</t>
  </si>
  <si>
    <t>구미천</t>
  </si>
  <si>
    <t>율곡천</t>
  </si>
  <si>
    <t>고촌천</t>
  </si>
  <si>
    <t>대창천</t>
  </si>
  <si>
    <t>북안천</t>
  </si>
  <si>
    <t>이언천</t>
  </si>
  <si>
    <t>칠성천</t>
  </si>
  <si>
    <t>팔거천</t>
  </si>
  <si>
    <t>삼락천</t>
  </si>
  <si>
    <t>남창천</t>
  </si>
  <si>
    <t>방촌천</t>
  </si>
  <si>
    <t>차천</t>
  </si>
  <si>
    <t>진천천</t>
  </si>
  <si>
    <t>불로천</t>
  </si>
  <si>
    <t>달서천</t>
  </si>
  <si>
    <t xml:space="preserve"> 신천</t>
  </si>
  <si>
    <t>학장천</t>
  </si>
  <si>
    <t>곡천천</t>
  </si>
  <si>
    <t>대청천</t>
  </si>
  <si>
    <t>지사천</t>
  </si>
  <si>
    <t>덕포천</t>
  </si>
  <si>
    <t>주천강</t>
  </si>
  <si>
    <t>봉천</t>
  </si>
  <si>
    <t>화천</t>
  </si>
  <si>
    <t>서상천</t>
  </si>
  <si>
    <t>곤양천</t>
  </si>
  <si>
    <t>반성천</t>
  </si>
  <si>
    <t>진동천</t>
  </si>
  <si>
    <t>삼호천</t>
  </si>
  <si>
    <t>석교천</t>
  </si>
  <si>
    <t>좌광천</t>
  </si>
  <si>
    <t>신명천</t>
  </si>
  <si>
    <t>구량천</t>
  </si>
  <si>
    <t>복안천</t>
  </si>
  <si>
    <t>청량천</t>
  </si>
  <si>
    <t>람천</t>
  </si>
  <si>
    <t>광천</t>
  </si>
  <si>
    <t>척산천</t>
  </si>
  <si>
    <t>현동천</t>
  </si>
  <si>
    <t>화매천</t>
  </si>
  <si>
    <t>장파천</t>
  </si>
  <si>
    <t>송야천</t>
  </si>
  <si>
    <t>동계천</t>
  </si>
  <si>
    <t>풍산천</t>
  </si>
  <si>
    <t>광산천</t>
  </si>
  <si>
    <t>시천천</t>
  </si>
  <si>
    <t>묘산천</t>
  </si>
  <si>
    <t>아천</t>
  </si>
  <si>
    <t>이천</t>
  </si>
  <si>
    <t>옥계천</t>
  </si>
  <si>
    <t>금곡천</t>
  </si>
  <si>
    <t>신광천</t>
  </si>
  <si>
    <t>가사천</t>
  </si>
  <si>
    <t>128-38-00.20</t>
  </si>
  <si>
    <t>128-52-17.10</t>
  </si>
  <si>
    <t>128-39-53.00</t>
  </si>
  <si>
    <t>128-50-30.50</t>
  </si>
  <si>
    <t>128-49-30.50</t>
  </si>
  <si>
    <t>129-14-13.50</t>
  </si>
  <si>
    <t>129-12-36.50</t>
  </si>
  <si>
    <t>129-19-14.20</t>
  </si>
  <si>
    <t>129-11-16.70</t>
  </si>
  <si>
    <t>128-19-58.50</t>
  </si>
  <si>
    <t>128-10-41.40</t>
  </si>
  <si>
    <t>129-00-00.10</t>
  </si>
  <si>
    <t>128-51-22.60</t>
  </si>
  <si>
    <t>128-55-43.70</t>
  </si>
  <si>
    <t>128-29-47.10</t>
  </si>
  <si>
    <t>129-21-28.60</t>
  </si>
  <si>
    <t>128-33-14.30</t>
  </si>
  <si>
    <t>129-03-41.00</t>
  </si>
  <si>
    <t>128-58-53.20</t>
  </si>
  <si>
    <t>129-17-03.00</t>
  </si>
  <si>
    <t>128-37-54.10</t>
  </si>
  <si>
    <t>128-26-41.10</t>
  </si>
  <si>
    <t>128-29-31.30</t>
  </si>
  <si>
    <t>128-38-18.20</t>
  </si>
  <si>
    <t>128-32-10.70</t>
  </si>
  <si>
    <t>128-36-47.90</t>
  </si>
  <si>
    <t>128-36-40.70</t>
  </si>
  <si>
    <t>128-36-30.10</t>
  </si>
  <si>
    <t>128-59-08.30</t>
  </si>
  <si>
    <t>129-12-19.60</t>
  </si>
  <si>
    <t>128-49-04.75</t>
  </si>
  <si>
    <t>128-51-28.56</t>
  </si>
  <si>
    <t>128-42-16.16</t>
  </si>
  <si>
    <t>127-49-15.60</t>
  </si>
  <si>
    <t>128-43-41.84</t>
  </si>
  <si>
    <t>127-53-50.13</t>
  </si>
  <si>
    <t>128-01-58.61</t>
  </si>
  <si>
    <t>127-50-36.52</t>
  </si>
  <si>
    <t>128-52-14.58</t>
  </si>
  <si>
    <t>127-57-49.72</t>
  </si>
  <si>
    <t>128-13-44.95</t>
  </si>
  <si>
    <t>128-21-57.65</t>
  </si>
  <si>
    <t>128-15-05.16</t>
  </si>
  <si>
    <t>128-29-01.21</t>
  </si>
  <si>
    <t>128-34-09.29</t>
  </si>
  <si>
    <t>128-37-02.21</t>
  </si>
  <si>
    <t>128-19-05.94</t>
  </si>
  <si>
    <t>127-44-34.26</t>
  </si>
  <si>
    <t>129-11-51.27</t>
  </si>
  <si>
    <t>129-26-23.39</t>
  </si>
  <si>
    <t>129-09-42.16</t>
  </si>
  <si>
    <t>129-10-48.20</t>
  </si>
  <si>
    <t>129-05-56.68</t>
  </si>
  <si>
    <t>129-18-32.32</t>
  </si>
  <si>
    <t>127-37-38.02</t>
  </si>
  <si>
    <t>129-22-07.40</t>
  </si>
  <si>
    <t>129-26-57.27</t>
  </si>
  <si>
    <t>129-24-29.14</t>
  </si>
  <si>
    <t>128-44-03.43</t>
  </si>
  <si>
    <t>129-00-02.08</t>
  </si>
  <si>
    <t>128-18-41.53</t>
  </si>
  <si>
    <t>128-15-44.59</t>
  </si>
  <si>
    <t>129-07-06.06</t>
  </si>
  <si>
    <t>129-11-06.02</t>
  </si>
  <si>
    <t>129-08-18.55</t>
  </si>
  <si>
    <t>129-08-53.84</t>
  </si>
  <si>
    <t>128-40-21.99</t>
  </si>
  <si>
    <t>128-54-24.89</t>
  </si>
  <si>
    <t>128-34-34.57</t>
  </si>
  <si>
    <t>128-26-54.72</t>
  </si>
  <si>
    <t>128-40-58.23</t>
  </si>
  <si>
    <t>128-37-44.16</t>
  </si>
  <si>
    <t>127-49-02.00</t>
  </si>
  <si>
    <t>128-48-29.87</t>
  </si>
  <si>
    <t>128-10-39.92</t>
  </si>
  <si>
    <t>128-29-32.73</t>
  </si>
  <si>
    <t>128-09-55.79</t>
  </si>
  <si>
    <t>128-06-37.26</t>
  </si>
  <si>
    <t>128-06-08.90</t>
  </si>
  <si>
    <t>128-08-44.78</t>
  </si>
  <si>
    <t>128-17-39.19</t>
  </si>
  <si>
    <t>128-18-35.41</t>
  </si>
  <si>
    <t>129-17-29.28</t>
  </si>
  <si>
    <t>128-54-42.20</t>
  </si>
  <si>
    <t>128-33-47.15</t>
  </si>
  <si>
    <t>128-26-56.33</t>
  </si>
  <si>
    <t>128-26-38.60</t>
  </si>
  <si>
    <t>128-33-44.43</t>
  </si>
  <si>
    <t>128-43-46.94</t>
  </si>
  <si>
    <t>129-05-41.05</t>
  </si>
  <si>
    <t>129-23-33.51</t>
  </si>
  <si>
    <t>129-06-07.47</t>
  </si>
  <si>
    <t>129-09-22.47</t>
  </si>
  <si>
    <t>129-24-01.04</t>
  </si>
  <si>
    <t>128-46-21.75</t>
  </si>
  <si>
    <t>34-52-38.20</t>
  </si>
  <si>
    <t>35-14-40.90</t>
  </si>
  <si>
    <t>35-14-45.70</t>
  </si>
  <si>
    <t>35-55-03.80</t>
  </si>
  <si>
    <t>35-54-50.20</t>
  </si>
  <si>
    <t>35-50-35.80</t>
  </si>
  <si>
    <t>35-59-24.40</t>
  </si>
  <si>
    <t>35-40-41.80</t>
  </si>
  <si>
    <t>35-53-07.10</t>
  </si>
  <si>
    <t>36-08-06.80</t>
  </si>
  <si>
    <t>36-07-15.20</t>
  </si>
  <si>
    <t>35-59-08.90</t>
  </si>
  <si>
    <t>35-54-35.40</t>
  </si>
  <si>
    <t>35-56-01.00</t>
  </si>
  <si>
    <t>35-54-12.00</t>
  </si>
  <si>
    <t>35-59-17.20</t>
  </si>
  <si>
    <t>35-55-53.60</t>
  </si>
  <si>
    <t>35-09-00.40</t>
  </si>
  <si>
    <t>35-10-55.10</t>
  </si>
  <si>
    <t>35-24-53.90</t>
  </si>
  <si>
    <t>35-54-02.40</t>
  </si>
  <si>
    <t>35-40-16.20</t>
  </si>
  <si>
    <t>35-49-07.30</t>
  </si>
  <si>
    <t>35-54-33.60</t>
  </si>
  <si>
    <t>35-53-03.80</t>
  </si>
  <si>
    <t>35-52-02.20</t>
  </si>
  <si>
    <t>35-52-29.40</t>
  </si>
  <si>
    <t>35-51-23.30</t>
  </si>
  <si>
    <t>35-08-33.60</t>
  </si>
  <si>
    <t>35-27-27.20</t>
  </si>
  <si>
    <t>35-11-52.61</t>
  </si>
  <si>
    <t>35-08-21.05</t>
  </si>
  <si>
    <t>34-54-35.02</t>
  </si>
  <si>
    <t>35-46-08.15</t>
  </si>
  <si>
    <t>35-18-48.66</t>
  </si>
  <si>
    <t>34-49-53.00</t>
  </si>
  <si>
    <t>34-48-21.55</t>
  </si>
  <si>
    <t>34-48-37.36</t>
  </si>
  <si>
    <t>35-34-33.72</t>
  </si>
  <si>
    <t>35-03-41.27</t>
  </si>
  <si>
    <t>35-19-28.24</t>
  </si>
  <si>
    <t>35-20-21.35</t>
  </si>
  <si>
    <t>35-11-43.55</t>
  </si>
  <si>
    <t>35-08-15.58</t>
  </si>
  <si>
    <t>35-13-53.06</t>
  </si>
  <si>
    <t>35-20-42.08</t>
  </si>
  <si>
    <t>35-18-31.51</t>
  </si>
  <si>
    <t>35-37-19.00</t>
  </si>
  <si>
    <t>35-19-10.23</t>
  </si>
  <si>
    <t>35-38-22.83</t>
  </si>
  <si>
    <t>35-37-08.65</t>
  </si>
  <si>
    <t>35-42-10.99</t>
  </si>
  <si>
    <t>35-34-37.17</t>
  </si>
  <si>
    <t>35-28-47.16</t>
  </si>
  <si>
    <t>35-25-04.09</t>
  </si>
  <si>
    <t>36-58-22.52</t>
  </si>
  <si>
    <t>36-47-29.43</t>
  </si>
  <si>
    <t>36-43-18.40</t>
  </si>
  <si>
    <t>36-54-00.28</t>
  </si>
  <si>
    <t>36-56-27.92</t>
  </si>
  <si>
    <t>36-41-39.49</t>
  </si>
  <si>
    <t>36-39-51.34</t>
  </si>
  <si>
    <t>36-33-40.20</t>
  </si>
  <si>
    <t>36-42-41.36</t>
  </si>
  <si>
    <t>36-42-24.70</t>
  </si>
  <si>
    <t>36-44-00.13</t>
  </si>
  <si>
    <t>36-34-39.28</t>
  </si>
  <si>
    <t>36-40-32.55</t>
  </si>
  <si>
    <t>36-34-35.91</t>
  </si>
  <si>
    <t>36-31-16.63</t>
  </si>
  <si>
    <t>36-25-30.93</t>
  </si>
  <si>
    <t>36-16-39.54</t>
  </si>
  <si>
    <t>35-14-31.91</t>
  </si>
  <si>
    <t>35-48-08.67</t>
  </si>
  <si>
    <t>35-40-26.03</t>
  </si>
  <si>
    <t>36-07-31.55</t>
  </si>
  <si>
    <t>36-09-43.19</t>
  </si>
  <si>
    <t>36-31-02.61</t>
  </si>
  <si>
    <t>36-24-20.03</t>
  </si>
  <si>
    <t>35-54-29.06</t>
  </si>
  <si>
    <t>35-55-04.10</t>
  </si>
  <si>
    <t>35-56-25.54</t>
  </si>
  <si>
    <t>36-26-17.47</t>
  </si>
  <si>
    <t>35-58-33.50</t>
  </si>
  <si>
    <t>36-43-07.63</t>
  </si>
  <si>
    <t>36-40-43.50</t>
  </si>
  <si>
    <t>36-42-08.62</t>
  </si>
  <si>
    <t>36-18-45.81</t>
  </si>
  <si>
    <t>35-39-35.02</t>
  </si>
  <si>
    <t>36-22-22.26</t>
  </si>
  <si>
    <t>35-56-27.73</t>
  </si>
  <si>
    <t>36-09-47.26</t>
  </si>
  <si>
    <t>36-05-22.88</t>
  </si>
  <si>
    <t>35-55-43.43</t>
  </si>
  <si>
    <t>35-34-08.84</t>
  </si>
  <si>
    <t>Mungyeongsi(Gyeongcheonjeosuji)</t>
    <phoneticPr fontId="2" type="noConversion"/>
  </si>
  <si>
    <t>관측방법(2025.2월)</t>
    <phoneticPr fontId="2" type="noConversion"/>
  </si>
  <si>
    <t>(2025.2월)</t>
    <phoneticPr fontId="2" type="noConversion"/>
  </si>
  <si>
    <t>경상남도 거제시 상동동 380-4</t>
  </si>
  <si>
    <t>경상남도 김해시 내동 104</t>
  </si>
  <si>
    <t>경상남도 창원시 성산구 반지동 504</t>
  </si>
  <si>
    <t>경상북도 경산시 와촌면 용천리 668</t>
  </si>
  <si>
    <t>경상북도 경산시 하양읍 동서리 785-1</t>
  </si>
  <si>
    <t>경상북도 경주시 동천동 147-2</t>
  </si>
  <si>
    <t>경상북도 경주시 안강읍 산대리 2053-2</t>
  </si>
  <si>
    <t>경상북도 경주시 외동읍 문산리 407-6</t>
  </si>
  <si>
    <t>경상북도 경주시 현곡면 소현리 804-1</t>
  </si>
  <si>
    <t>경상북도 구미시 도량동 792-42</t>
  </si>
  <si>
    <t>경상북도 김천시 율곡동 934</t>
  </si>
  <si>
    <t>경상북도 영천시 고경면 창하리 1147-1</t>
  </si>
  <si>
    <t>경상북도 영천시 금호읍 신대리 737-44</t>
  </si>
  <si>
    <t>경상북도 영천시 도동 755-8</t>
  </si>
  <si>
    <t>경상북도 칠곡군 지천면 오산리 5-12</t>
  </si>
  <si>
    <t>경상북도 포항시 남구 연일읍 오천리 342-1</t>
  </si>
  <si>
    <t>대구광역시 북구 구압동 763-2</t>
  </si>
  <si>
    <t>부산광역시 부산진구 범천동 948-4</t>
  </si>
  <si>
    <t>부산광역시 사상구 덕포동 431번지</t>
  </si>
  <si>
    <t>울산광역시 울주군 온양읍 남창리 97-1</t>
  </si>
  <si>
    <t>대구광역시 동구 불로동 955-11</t>
  </si>
  <si>
    <t>대구광역시 달성군 현풍읍 신기리 35-6</t>
  </si>
  <si>
    <t>대구광역시 달성군 화원읍 구라리 786-2</t>
  </si>
  <si>
    <t>대구광역시 동구 불로동 661</t>
  </si>
  <si>
    <t>대구광역시 서구 비산동 2985-1</t>
  </si>
  <si>
    <t>대구광역시 수성구 수성동4가 1153</t>
  </si>
  <si>
    <t>대구광역시 동구 신천동 1291-380</t>
  </si>
  <si>
    <t>대구광역시 수성구 수성동1가 679</t>
  </si>
  <si>
    <t>부산광역시 사상구 학장동 473-2</t>
  </si>
  <si>
    <t>울산광역시 울주군 웅촌면 곡천리 217-19</t>
  </si>
  <si>
    <t>경상남도 김해시 신문동 490-1</t>
  </si>
  <si>
    <t>부산광역시 강서구 구량동 1234</t>
  </si>
  <si>
    <t>경상남도 거제시 덕포동 1033-65</t>
  </si>
  <si>
    <t>경상남도 거창군 북상면 갈계리 1526</t>
  </si>
  <si>
    <t>경상남도 김해시 진영읍 진영리 318-150</t>
  </si>
  <si>
    <t>경상남도 남해군 남해읍 평리 1225-2</t>
  </si>
  <si>
    <t>경상남도 남해군 삼동면 봉화리 111-20</t>
  </si>
  <si>
    <t>경상남도 남해군 서면 서상리 393</t>
  </si>
  <si>
    <t>경상남도 밀양시 산내면 임고리 184-16</t>
  </si>
  <si>
    <t>경상남도 사천시 곤양면 송전리 828-3</t>
  </si>
  <si>
    <t>경상남도 의령군 가례면 대천리 83</t>
  </si>
  <si>
    <t>경상남도 의령군 정곡면 백곡리 201-2</t>
  </si>
  <si>
    <t>경상남도 진주시 사봉면 방촌리 358-4</t>
  </si>
  <si>
    <t>경상남도 창원시 마산합포구 진북면 망곡리 423</t>
  </si>
  <si>
    <t>경상남도 창원시 마산회원구 석전동 203-1</t>
  </si>
  <si>
    <t>경상남도 창원시 의창구 북면 마산리 148-179</t>
  </si>
  <si>
    <t>경상남도 함안군 군복면 월촌리 119-2</t>
  </si>
  <si>
    <t>경상남도 함양군 서하면 다곡리 1121</t>
  </si>
  <si>
    <t>부산광역시 기장군 정관읍 달산리 939-145</t>
  </si>
  <si>
    <t>울산광역시 북구 신명동 282-1</t>
  </si>
  <si>
    <t>울산광역시 울주군 두동면 천전리 669-1</t>
  </si>
  <si>
    <t>울산광역시 울주군 두서면 복안리 1169-104</t>
  </si>
  <si>
    <t>울산광역시 울주군 상북면 향산리 603-85</t>
  </si>
  <si>
    <t>울산광역시 울주군 청량읍 상남리 241-9</t>
  </si>
  <si>
    <t>전라북도 남원시 산내면 입석리 775</t>
  </si>
  <si>
    <t>경상북도 울진군 근남면 행곡리 670-2</t>
  </si>
  <si>
    <t>경상북도 울진군 기성면 정명리 86-2</t>
  </si>
  <si>
    <t>경상북도 울진군 온정면 광품리 215-1</t>
  </si>
  <si>
    <t>경상북도 봉화군 봉화군 삼계리 160-2</t>
  </si>
  <si>
    <t>경상북도 봉화군 소천면 현동리 782-1</t>
  </si>
  <si>
    <t>경상북도 문경시 동로면 마광리 산123-4</t>
  </si>
  <si>
    <t>경상북도 문경시 산북면 대하리 448-11</t>
  </si>
  <si>
    <t>경상북도 영양군 석보면 지경리 275-2</t>
  </si>
  <si>
    <t>경상북도 영양군 수비면 송하리 산56-1</t>
  </si>
  <si>
    <t>경상북도 영양군 일월면 섬촌리 455</t>
  </si>
  <si>
    <t>경상북도 영양군 일월면 칠성리 515-5</t>
  </si>
  <si>
    <t>경상북도 안동시 서후면 교리 513</t>
  </si>
  <si>
    <t>경상북도 안동시 예안면 태곡리 1099-1</t>
  </si>
  <si>
    <t>경상북도 안동시 풍산읍 하리리 852-1</t>
  </si>
  <si>
    <t>경상북도 안동시 풍천면 신성리 747-3</t>
  </si>
  <si>
    <t>경상북도 의성군 단촌면 관덕리 1198-111</t>
  </si>
  <si>
    <t>경상북도 의성군 봉양면 장대리 124-7</t>
  </si>
  <si>
    <t>경상남도 산청군 시천면 내공리 147-5</t>
  </si>
  <si>
    <t>경상북도 경산시 자인면 계남리 672-42</t>
  </si>
  <si>
    <t>경상북도 구미시 장천면 상장리 942-1　</t>
  </si>
  <si>
    <t>경상북도 김천시 개령면 덕촌리 911-1</t>
  </si>
  <si>
    <t>경상북도 상주시 공검면 중소리 385-3</t>
  </si>
  <si>
    <t>경상북도 상주시 내서면 능암리 507-1</t>
  </si>
  <si>
    <t>경상북도 성주군 금수면 봉두리 산101-18</t>
  </si>
  <si>
    <t>경상북도 성주군 성주읍 성산리 544-13</t>
  </si>
  <si>
    <t>경상북도 성주군 월항면 안포리 214-7</t>
  </si>
  <si>
    <t>경상북도 영덕군 지품면 눌곡리 25-7</t>
  </si>
  <si>
    <t>경상북도 영천시 화룡동 863-4</t>
  </si>
  <si>
    <t>경상북도 예천군 보문면 독양리 423-2</t>
  </si>
  <si>
    <t>경상북도 예천군 예천읍 생천리 721-44</t>
  </si>
  <si>
    <t>경상북도 예천군 용문면 대제리 339-2</t>
  </si>
  <si>
    <t>경상북도 의성군 봉양면 안평리 729-1</t>
  </si>
  <si>
    <t>경상북도 청도군 화양읍 소라리 458-5</t>
  </si>
  <si>
    <t>경상북도 청송군 부동면 지리 567-209</t>
  </si>
  <si>
    <t>경상북도 포항시 남구 오천읍 문덕리 1043-29</t>
  </si>
  <si>
    <t>경상북도 포항시 북구 죽장면 입암리 858-1</t>
  </si>
  <si>
    <t>경상북도 포항시 북구 기계면 인비리 1321-1</t>
  </si>
  <si>
    <t>경상북도 포항시 남구 오천읍 문충리 418</t>
  </si>
  <si>
    <t>경상북도 청도군 청도읍 내호리 247-6</t>
  </si>
  <si>
    <t>신천</t>
    <phoneticPr fontId="2" type="noConversion"/>
  </si>
  <si>
    <t>봉화군(제1현동교)</t>
    <phoneticPr fontId="2" type="noConversion"/>
  </si>
  <si>
    <t>Bonghwagun(Je1hyeondonggyo)</t>
    <phoneticPr fontId="2" type="noConversion"/>
  </si>
  <si>
    <t>경상남도 합천군 야로면 덕암리 산1-3</t>
    <phoneticPr fontId="2" type="noConversion"/>
  </si>
  <si>
    <t>경상북도 군위군 군위읍 사직리 355</t>
    <phoneticPr fontId="2" type="noConversion"/>
  </si>
  <si>
    <t>수정식/레이더</t>
    <phoneticPr fontId="38" type="noConversion"/>
  </si>
  <si>
    <t>레이더/레이더(무)</t>
    <phoneticPr fontId="38" type="noConversion"/>
  </si>
  <si>
    <t>리드식/레이더</t>
    <phoneticPr fontId="38" type="noConversion"/>
  </si>
  <si>
    <t>레이더</t>
    <phoneticPr fontId="38" type="noConversion"/>
  </si>
  <si>
    <t>레이더(무)</t>
    <phoneticPr fontId="38" type="noConversion"/>
  </si>
  <si>
    <t>레이더/수정식</t>
    <phoneticPr fontId="38" type="noConversion"/>
  </si>
  <si>
    <t>레이더/리드식</t>
    <phoneticPr fontId="38" type="noConversion"/>
  </si>
  <si>
    <t>수정식</t>
    <phoneticPr fontId="38" type="noConversion"/>
  </si>
  <si>
    <t>수정식/레이더(무)</t>
    <phoneticPr fontId="38" type="noConversion"/>
  </si>
  <si>
    <t>128-55-52.00</t>
    <phoneticPr fontId="2" type="noConversion"/>
  </si>
  <si>
    <t>강원도 태백시 장성동 222-65</t>
    <phoneticPr fontId="2" type="noConversion"/>
  </si>
  <si>
    <t>129-00-22</t>
    <phoneticPr fontId="2" type="noConversion"/>
  </si>
  <si>
    <t>37-06-14.00</t>
    <phoneticPr fontId="2" type="noConversion"/>
  </si>
  <si>
    <t>Sangjusi(Hwagyegyo)</t>
    <phoneticPr fontId="2" type="noConversion"/>
  </si>
  <si>
    <t>Busansi(Hoedongjeosuji)</t>
    <phoneticPr fontId="2" type="noConversion"/>
  </si>
  <si>
    <t>압력식/압력식</t>
    <phoneticPr fontId="2" type="noConversion"/>
  </si>
  <si>
    <t>부자식/수정식</t>
    <phoneticPr fontId="2" type="noConversion"/>
  </si>
  <si>
    <t>부자식/레이더식</t>
    <phoneticPr fontId="2" type="noConversion"/>
  </si>
  <si>
    <t>Table of Stage Stations(ME, FCO)</t>
    <phoneticPr fontId="2" type="noConversion"/>
  </si>
  <si>
    <t>수 위 관 측 소   일 람 표 (환경부 낙동강홍수통제소)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</si>
</sst>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_);_(* \(#,##0\);_(* &quot;-&quot;_);_(@_)"/>
    <numFmt numFmtId="177" formatCode="0.000_);[Red]\(0.000\)"/>
    <numFmt numFmtId="178" formatCode="0.000_ "/>
    <numFmt numFmtId="179" formatCode="0.00_);[Red]\(0.00\)"/>
    <numFmt numFmtId="180" formatCode="#,##0.00_);[Red]\(#,##0.00\)"/>
  </numFmts>
  <fonts count="40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8"/>
      <name val="돋움"/>
      <family val="3"/>
      <charset val="129"/>
    </font>
    <font>
      <b/>
      <sz val="12"/>
      <name val="돋움"/>
      <family val="3"/>
      <charset val="129"/>
    </font>
    <font>
      <b/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3"/>
      <charset val="129"/>
    </font>
    <font>
      <sz val="11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Arial"/>
      <family val="2"/>
    </font>
    <font>
      <sz val="11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FF0000"/>
      <name val="돋움"/>
      <family val="3"/>
      <charset val="129"/>
    </font>
    <font>
      <b/>
      <sz val="12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name val="돋움"/>
      <family val="3"/>
      <charset val="129"/>
    </font>
    <font>
      <sz val="10"/>
      <color theme="1"/>
      <name val="돋움"/>
      <family val="3"/>
      <charset val="129"/>
    </font>
    <font>
      <sz val="12"/>
      <color theme="1"/>
      <name val="돋움"/>
      <family val="3"/>
      <charset val="129"/>
    </font>
    <font>
      <b/>
      <sz val="12"/>
      <color theme="1"/>
      <name val="돋움"/>
      <family val="3"/>
      <charset val="129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9"/>
      <color indexed="81"/>
      <name val="돋움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</borders>
  <cellStyleXfs count="129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3" borderId="3" applyNumberFormat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27" fillId="0" borderId="0">
      <alignment vertical="center"/>
    </xf>
    <xf numFmtId="0" fontId="8" fillId="0" borderId="0"/>
    <xf numFmtId="0" fontId="25" fillId="0" borderId="0" applyNumberFormat="0" applyFont="0" applyFill="0" applyBorder="0" applyAlignment="0" applyProtection="0"/>
    <xf numFmtId="0" fontId="8" fillId="0" borderId="0"/>
    <xf numFmtId="0" fontId="27" fillId="0" borderId="0">
      <alignment vertical="center"/>
    </xf>
    <xf numFmtId="0" fontId="8" fillId="0" borderId="0"/>
    <xf numFmtId="0" fontId="8" fillId="0" borderId="0"/>
    <xf numFmtId="0" fontId="27" fillId="0" borderId="0">
      <alignment vertical="center"/>
    </xf>
    <xf numFmtId="0" fontId="8" fillId="0" borderId="0"/>
    <xf numFmtId="0" fontId="2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2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" fillId="0" borderId="0"/>
    <xf numFmtId="0" fontId="27" fillId="0" borderId="0">
      <alignment vertical="center"/>
    </xf>
    <xf numFmtId="0" fontId="8" fillId="0" borderId="0"/>
    <xf numFmtId="0" fontId="2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>
      <alignment vertical="center"/>
    </xf>
    <xf numFmtId="0" fontId="8" fillId="0" borderId="0">
      <alignment vertical="center"/>
    </xf>
    <xf numFmtId="0" fontId="8" fillId="0" borderId="0"/>
    <xf numFmtId="0" fontId="27" fillId="0" borderId="0">
      <alignment vertical="center"/>
    </xf>
    <xf numFmtId="0" fontId="27" fillId="0" borderId="0">
      <alignment vertical="center"/>
    </xf>
    <xf numFmtId="0" fontId="8" fillId="0" borderId="0"/>
    <xf numFmtId="0" fontId="27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2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27" fillId="0" borderId="0">
      <alignment vertical="center"/>
    </xf>
    <xf numFmtId="0" fontId="8" fillId="0" borderId="0"/>
    <xf numFmtId="0" fontId="8" fillId="0" borderId="0"/>
    <xf numFmtId="0" fontId="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5" fillId="0" borderId="0" applyNumberFormat="0" applyFont="0" applyFill="0" applyBorder="0" applyAlignment="0" applyProtection="0"/>
    <xf numFmtId="0" fontId="8" fillId="0" borderId="0"/>
    <xf numFmtId="0" fontId="8" fillId="0" borderId="0">
      <alignment vertical="center"/>
    </xf>
    <xf numFmtId="0" fontId="1" fillId="0" borderId="0">
      <alignment vertical="center"/>
    </xf>
    <xf numFmtId="0" fontId="8" fillId="0" borderId="0"/>
    <xf numFmtId="176" fontId="8" fillId="0" borderId="0" applyFont="0" applyFill="0" applyBorder="0" applyAlignment="0" applyProtection="0">
      <alignment vertical="center"/>
    </xf>
    <xf numFmtId="0" fontId="8" fillId="0" borderId="0"/>
    <xf numFmtId="0" fontId="27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</cellStyleXfs>
  <cellXfs count="148">
    <xf numFmtId="0" fontId="0" fillId="0" borderId="0" xfId="0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justify" vertical="center"/>
    </xf>
    <xf numFmtId="0" fontId="4" fillId="0" borderId="0" xfId="0" applyNumberFormat="1" applyFont="1" applyFill="1" applyBorder="1" applyAlignment="1">
      <alignment horizontal="center" vertical="center"/>
    </xf>
    <xf numFmtId="178" fontId="4" fillId="0" borderId="0" xfId="0" applyNumberFormat="1" applyFont="1" applyFill="1" applyBorder="1" applyAlignment="1">
      <alignment horizontal="center" vertical="center"/>
    </xf>
    <xf numFmtId="0" fontId="7" fillId="0" borderId="11" xfId="0" applyNumberFormat="1" applyFont="1" applyFill="1" applyBorder="1" applyAlignment="1">
      <alignment horizontal="center" vertical="center" wrapText="1"/>
    </xf>
    <xf numFmtId="0" fontId="7" fillId="0" borderId="12" xfId="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left" vertical="center"/>
    </xf>
    <xf numFmtId="14" fontId="4" fillId="0" borderId="0" xfId="0" applyNumberFormat="1" applyFont="1" applyFill="1" applyBorder="1" applyAlignment="1">
      <alignment horizontal="center" vertical="center"/>
    </xf>
    <xf numFmtId="177" fontId="4" fillId="0" borderId="0" xfId="0" applyNumberFormat="1" applyFont="1" applyFill="1" applyBorder="1" applyAlignment="1">
      <alignment horizontal="center" vertical="center"/>
    </xf>
    <xf numFmtId="0" fontId="7" fillId="0" borderId="14" xfId="0" applyNumberFormat="1" applyFont="1" applyFill="1" applyBorder="1" applyAlignment="1">
      <alignment horizontal="center" vertical="center" wrapText="1"/>
    </xf>
    <xf numFmtId="180" fontId="4" fillId="0" borderId="0" xfId="0" applyNumberFormat="1" applyFont="1" applyFill="1" applyBorder="1" applyAlignment="1">
      <alignment horizontal="center" vertical="center"/>
    </xf>
    <xf numFmtId="179" fontId="4" fillId="0" borderId="0" xfId="0" applyNumberFormat="1" applyFont="1" applyFill="1" applyBorder="1" applyAlignment="1">
      <alignment horizontal="center" vertical="center"/>
    </xf>
    <xf numFmtId="0" fontId="7" fillId="0" borderId="19" xfId="44" applyNumberFormat="1" applyFont="1" applyFill="1" applyBorder="1" applyAlignment="1">
      <alignment horizontal="center" vertical="center" wrapText="1"/>
    </xf>
    <xf numFmtId="14" fontId="7" fillId="0" borderId="19" xfId="0" applyNumberFormat="1" applyFont="1" applyFill="1" applyBorder="1" applyAlignment="1">
      <alignment horizontal="center" vertical="center"/>
    </xf>
    <xf numFmtId="0" fontId="7" fillId="0" borderId="19" xfId="98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34" fillId="0" borderId="11" xfId="0" applyFont="1" applyFill="1" applyBorder="1" applyAlignment="1">
      <alignment horizontal="center" vertical="center"/>
    </xf>
    <xf numFmtId="14" fontId="34" fillId="0" borderId="11" xfId="0" applyNumberFormat="1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left" vertical="center"/>
    </xf>
    <xf numFmtId="0" fontId="35" fillId="0" borderId="0" xfId="0" applyFont="1" applyFill="1" applyBorder="1" applyAlignment="1">
      <alignment horizontal="left" vertical="center"/>
    </xf>
    <xf numFmtId="0" fontId="4" fillId="24" borderId="0" xfId="0" applyFont="1" applyFill="1" applyBorder="1" applyAlignment="1">
      <alignment horizontal="left" vertical="center"/>
    </xf>
    <xf numFmtId="0" fontId="4" fillId="25" borderId="0" xfId="0" applyFont="1" applyFill="1" applyBorder="1" applyAlignment="1">
      <alignment horizontal="left" vertical="center"/>
    </xf>
    <xf numFmtId="0" fontId="34" fillId="0" borderId="19" xfId="0" applyFont="1" applyFill="1" applyBorder="1" applyAlignment="1">
      <alignment horizontal="center" vertical="center"/>
    </xf>
    <xf numFmtId="0" fontId="28" fillId="0" borderId="19" xfId="0" applyFont="1" applyFill="1" applyBorder="1" applyAlignment="1">
      <alignment horizontal="center" vertical="center"/>
    </xf>
    <xf numFmtId="0" fontId="7" fillId="0" borderId="26" xfId="44" applyNumberFormat="1" applyFont="1" applyFill="1" applyBorder="1" applyAlignment="1">
      <alignment horizontal="center" vertical="center" wrapText="1"/>
    </xf>
    <xf numFmtId="0" fontId="7" fillId="0" borderId="26" xfId="98" applyNumberFormat="1" applyFont="1" applyFill="1" applyBorder="1" applyAlignment="1">
      <alignment horizontal="center" vertical="center" wrapText="1"/>
    </xf>
    <xf numFmtId="0" fontId="7" fillId="0" borderId="26" xfId="128" applyNumberFormat="1" applyFont="1" applyFill="1" applyBorder="1" applyAlignment="1">
      <alignment horizontal="center" vertical="center" wrapText="1"/>
    </xf>
    <xf numFmtId="0" fontId="7" fillId="0" borderId="26" xfId="0" applyFont="1" applyFill="1" applyBorder="1" applyAlignment="1">
      <alignment horizontal="center" vertical="center"/>
    </xf>
    <xf numFmtId="0" fontId="34" fillId="0" borderId="27" xfId="0" applyFont="1" applyFill="1" applyBorder="1" applyAlignment="1">
      <alignment horizontal="center" vertical="center"/>
    </xf>
    <xf numFmtId="0" fontId="34" fillId="0" borderId="26" xfId="0" applyFont="1" applyFill="1" applyBorder="1" applyAlignment="1">
      <alignment horizontal="center" vertical="center"/>
    </xf>
    <xf numFmtId="0" fontId="28" fillId="0" borderId="26" xfId="0" applyFont="1" applyFill="1" applyBorder="1" applyAlignment="1">
      <alignment horizontal="center" vertical="center"/>
    </xf>
    <xf numFmtId="0" fontId="7" fillId="0" borderId="19" xfId="0" applyFont="1" applyBorder="1"/>
    <xf numFmtId="0" fontId="0" fillId="0" borderId="19" xfId="0" applyBorder="1"/>
    <xf numFmtId="14" fontId="34" fillId="0" borderId="19" xfId="0" applyNumberFormat="1" applyFont="1" applyFill="1" applyBorder="1" applyAlignment="1">
      <alignment horizontal="center" vertical="center"/>
    </xf>
    <xf numFmtId="0" fontId="7" fillId="0" borderId="28" xfId="98" applyNumberFormat="1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11" xfId="116" applyFont="1" applyFill="1" applyBorder="1" applyAlignment="1">
      <alignment horizontal="center" vertical="center"/>
    </xf>
    <xf numFmtId="0" fontId="7" fillId="0" borderId="11" xfId="122" applyFont="1" applyFill="1" applyBorder="1" applyAlignment="1">
      <alignment horizontal="center" vertical="center"/>
    </xf>
    <xf numFmtId="14" fontId="7" fillId="0" borderId="11" xfId="0" applyNumberFormat="1" applyFont="1" applyFill="1" applyBorder="1" applyAlignment="1">
      <alignment horizontal="center" vertical="center"/>
    </xf>
    <xf numFmtId="178" fontId="7" fillId="0" borderId="11" xfId="0" applyNumberFormat="1" applyFont="1" applyFill="1" applyBorder="1" applyAlignment="1">
      <alignment horizontal="center" vertical="center"/>
    </xf>
    <xf numFmtId="177" fontId="7" fillId="0" borderId="11" xfId="0" applyNumberFormat="1" applyFont="1" applyFill="1" applyBorder="1" applyAlignment="1">
      <alignment horizontal="center" vertical="center"/>
    </xf>
    <xf numFmtId="178" fontId="7" fillId="0" borderId="14" xfId="0" applyNumberFormat="1" applyFont="1" applyFill="1" applyBorder="1" applyAlignment="1">
      <alignment horizontal="center" vertical="center"/>
    </xf>
    <xf numFmtId="177" fontId="7" fillId="0" borderId="14" xfId="0" applyNumberFormat="1" applyFont="1" applyFill="1" applyBorder="1" applyAlignment="1">
      <alignment horizontal="center" vertical="center"/>
    </xf>
    <xf numFmtId="0" fontId="7" fillId="0" borderId="14" xfId="0" applyNumberFormat="1" applyFont="1" applyFill="1" applyBorder="1" applyAlignment="1">
      <alignment horizontal="center" vertical="center"/>
    </xf>
    <xf numFmtId="179" fontId="7" fillId="0" borderId="14" xfId="0" applyNumberFormat="1" applyFont="1" applyFill="1" applyBorder="1" applyAlignment="1">
      <alignment horizontal="center" vertical="center"/>
    </xf>
    <xf numFmtId="14" fontId="7" fillId="0" borderId="14" xfId="0" applyNumberFormat="1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33" fillId="0" borderId="19" xfId="98" applyNumberFormat="1" applyFont="1" applyFill="1" applyBorder="1" applyAlignment="1">
      <alignment horizontal="center" vertical="center" wrapText="1"/>
    </xf>
    <xf numFmtId="0" fontId="7" fillId="0" borderId="10" xfId="98" applyNumberFormat="1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 wrapText="1"/>
    </xf>
    <xf numFmtId="14" fontId="7" fillId="0" borderId="0" xfId="0" applyNumberFormat="1" applyFont="1" applyFill="1" applyBorder="1" applyAlignment="1">
      <alignment horizontal="center" vertical="center"/>
    </xf>
    <xf numFmtId="0" fontId="0" fillId="0" borderId="0" xfId="0" applyBorder="1"/>
    <xf numFmtId="0" fontId="7" fillId="0" borderId="19" xfId="0" applyFont="1" applyFill="1" applyBorder="1" applyAlignment="1">
      <alignment vertical="center" wrapText="1"/>
    </xf>
    <xf numFmtId="0" fontId="7" fillId="0" borderId="26" xfId="0" applyFont="1" applyFill="1" applyBorder="1" applyAlignment="1">
      <alignment vertical="center" wrapText="1"/>
    </xf>
    <xf numFmtId="0" fontId="0" fillId="0" borderId="19" xfId="0" applyBorder="1" applyAlignment="1">
      <alignment vertical="center"/>
    </xf>
    <xf numFmtId="0" fontId="7" fillId="0" borderId="27" xfId="0" applyFont="1" applyFill="1" applyBorder="1" applyAlignment="1">
      <alignment horizontal="center" vertical="center"/>
    </xf>
    <xf numFmtId="0" fontId="7" fillId="0" borderId="27" xfId="98" applyNumberFormat="1" applyFont="1" applyFill="1" applyBorder="1" applyAlignment="1">
      <alignment horizontal="center" vertical="center" wrapText="1"/>
    </xf>
    <xf numFmtId="0" fontId="0" fillId="0" borderId="26" xfId="0" applyBorder="1"/>
    <xf numFmtId="0" fontId="7" fillId="0" borderId="0" xfId="98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7" fillId="0" borderId="11" xfId="98" applyNumberFormat="1" applyFont="1" applyFill="1" applyBorder="1" applyAlignment="1">
      <alignment horizontal="center" vertical="center" wrapText="1"/>
    </xf>
    <xf numFmtId="0" fontId="7" fillId="0" borderId="19" xfId="0" applyNumberFormat="1" applyFont="1" applyFill="1" applyBorder="1" applyAlignment="1">
      <alignment horizontal="center" vertical="center" wrapText="1"/>
    </xf>
    <xf numFmtId="14" fontId="7" fillId="0" borderId="28" xfId="0" applyNumberFormat="1" applyFont="1" applyFill="1" applyBorder="1" applyAlignment="1">
      <alignment horizontal="center" vertical="center"/>
    </xf>
    <xf numFmtId="14" fontId="7" fillId="0" borderId="10" xfId="0" applyNumberFormat="1" applyFont="1" applyFill="1" applyBorder="1" applyAlignment="1">
      <alignment horizontal="center" vertical="center"/>
    </xf>
    <xf numFmtId="0" fontId="0" fillId="0" borderId="10" xfId="0" applyBorder="1"/>
    <xf numFmtId="0" fontId="7" fillId="0" borderId="20" xfId="0" applyFont="1" applyFill="1" applyBorder="1" applyAlignment="1">
      <alignment horizontal="center" vertical="center"/>
    </xf>
    <xf numFmtId="0" fontId="7" fillId="0" borderId="20" xfId="0" applyNumberFormat="1" applyFont="1" applyFill="1" applyBorder="1" applyAlignment="1">
      <alignment horizontal="center" vertical="center" wrapText="1"/>
    </xf>
    <xf numFmtId="0" fontId="7" fillId="0" borderId="12" xfId="116" applyFont="1" applyFill="1" applyBorder="1" applyAlignment="1">
      <alignment horizontal="center" vertical="center"/>
    </xf>
    <xf numFmtId="0" fontId="7" fillId="0" borderId="12" xfId="122" applyFont="1" applyFill="1" applyBorder="1" applyAlignment="1">
      <alignment horizontal="center" vertical="center"/>
    </xf>
    <xf numFmtId="14" fontId="7" fillId="0" borderId="12" xfId="0" applyNumberFormat="1" applyFont="1" applyFill="1" applyBorder="1" applyAlignment="1">
      <alignment horizontal="center" vertical="center"/>
    </xf>
    <xf numFmtId="178" fontId="7" fillId="0" borderId="12" xfId="0" applyNumberFormat="1" applyFont="1" applyFill="1" applyBorder="1" applyAlignment="1">
      <alignment horizontal="center" vertical="center"/>
    </xf>
    <xf numFmtId="0" fontId="7" fillId="0" borderId="20" xfId="0" applyNumberFormat="1" applyFont="1" applyFill="1" applyBorder="1" applyAlignment="1">
      <alignment horizontal="center" vertical="center"/>
    </xf>
    <xf numFmtId="179" fontId="7" fillId="0" borderId="20" xfId="0" applyNumberFormat="1" applyFont="1" applyFill="1" applyBorder="1" applyAlignment="1">
      <alignment horizontal="center" vertical="center"/>
    </xf>
    <xf numFmtId="14" fontId="7" fillId="0" borderId="11" xfId="0" applyNumberFormat="1" applyFont="1" applyFill="1" applyBorder="1" applyAlignment="1">
      <alignment horizontal="center" vertical="center" wrapText="1"/>
    </xf>
    <xf numFmtId="179" fontId="7" fillId="0" borderId="11" xfId="0" applyNumberFormat="1" applyFont="1" applyFill="1" applyBorder="1" applyAlignment="1">
      <alignment horizontal="center" vertical="center" wrapText="1"/>
    </xf>
    <xf numFmtId="0" fontId="7" fillId="0" borderId="11" xfId="0" applyNumberFormat="1" applyFont="1" applyFill="1" applyBorder="1" applyAlignment="1">
      <alignment horizontal="center" vertical="center"/>
    </xf>
    <xf numFmtId="179" fontId="7" fillId="0" borderId="11" xfId="0" applyNumberFormat="1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/>
    </xf>
    <xf numFmtId="14" fontId="7" fillId="0" borderId="20" xfId="0" applyNumberFormat="1" applyFont="1" applyFill="1" applyBorder="1" applyAlignment="1">
      <alignment horizontal="center" vertical="center"/>
    </xf>
    <xf numFmtId="178" fontId="7" fillId="0" borderId="20" xfId="0" applyNumberFormat="1" applyFont="1" applyFill="1" applyBorder="1" applyAlignment="1">
      <alignment horizontal="center" vertical="center"/>
    </xf>
    <xf numFmtId="177" fontId="7" fillId="0" borderId="20" xfId="0" applyNumberFormat="1" applyFont="1" applyFill="1" applyBorder="1" applyAlignment="1">
      <alignment horizontal="center" vertical="center"/>
    </xf>
    <xf numFmtId="180" fontId="7" fillId="0" borderId="2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wrapText="1"/>
    </xf>
    <xf numFmtId="0" fontId="5" fillId="0" borderId="15" xfId="0" applyFont="1" applyFill="1" applyBorder="1" applyAlignment="1">
      <alignment horizontal="center" wrapText="1"/>
    </xf>
    <xf numFmtId="0" fontId="5" fillId="0" borderId="17" xfId="0" applyFont="1" applyFill="1" applyBorder="1" applyAlignment="1">
      <alignment horizontal="center" wrapText="1"/>
    </xf>
    <xf numFmtId="0" fontId="5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14" fontId="5" fillId="0" borderId="13" xfId="0" applyNumberFormat="1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178" fontId="5" fillId="0" borderId="13" xfId="0" applyNumberFormat="1" applyFont="1" applyFill="1" applyBorder="1" applyAlignment="1">
      <alignment horizontal="center" wrapText="1"/>
    </xf>
    <xf numFmtId="177" fontId="5" fillId="0" borderId="13" xfId="0" applyNumberFormat="1" applyFont="1" applyFill="1" applyBorder="1" applyAlignment="1">
      <alignment horizontal="center" wrapText="1"/>
    </xf>
    <xf numFmtId="0" fontId="5" fillId="0" borderId="13" xfId="0" applyNumberFormat="1" applyFont="1" applyFill="1" applyBorder="1" applyAlignment="1">
      <alignment horizontal="center" wrapText="1"/>
    </xf>
    <xf numFmtId="2" fontId="5" fillId="0" borderId="13" xfId="0" applyNumberFormat="1" applyFont="1" applyFill="1" applyBorder="1" applyAlignment="1">
      <alignment horizontal="center" wrapText="1"/>
    </xf>
    <xf numFmtId="180" fontId="5" fillId="0" borderId="13" xfId="0" applyNumberFormat="1" applyFont="1" applyFill="1" applyBorder="1" applyAlignment="1">
      <alignment horizontal="center" wrapText="1"/>
    </xf>
    <xf numFmtId="179" fontId="5" fillId="0" borderId="13" xfId="0" applyNumberFormat="1" applyFont="1" applyFill="1" applyBorder="1" applyAlignment="1">
      <alignment horizontal="center" wrapText="1"/>
    </xf>
    <xf numFmtId="0" fontId="5" fillId="0" borderId="10" xfId="0" applyFont="1" applyFill="1" applyBorder="1" applyAlignment="1">
      <alignment horizontal="center" vertical="top" wrapText="1"/>
    </xf>
    <xf numFmtId="0" fontId="5" fillId="0" borderId="18" xfId="0" applyFont="1" applyFill="1" applyBorder="1" applyAlignment="1">
      <alignment horizontal="center" vertical="top" wrapText="1"/>
    </xf>
    <xf numFmtId="0" fontId="5" fillId="0" borderId="31" xfId="0" applyFont="1" applyFill="1" applyBorder="1" applyAlignment="1">
      <alignment horizontal="center" vertical="top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4" fontId="5" fillId="0" borderId="10" xfId="0" applyNumberFormat="1" applyFont="1" applyFill="1" applyBorder="1" applyAlignment="1">
      <alignment horizontal="center" vertical="center" wrapText="1"/>
    </xf>
    <xf numFmtId="178" fontId="5" fillId="0" borderId="10" xfId="0" applyNumberFormat="1" applyFont="1" applyFill="1" applyBorder="1" applyAlignment="1">
      <alignment horizontal="center" vertical="center" wrapText="1"/>
    </xf>
    <xf numFmtId="177" fontId="5" fillId="0" borderId="10" xfId="0" applyNumberFormat="1" applyFont="1" applyFill="1" applyBorder="1" applyAlignment="1">
      <alignment horizontal="center" vertical="center" wrapText="1"/>
    </xf>
    <xf numFmtId="0" fontId="5" fillId="0" borderId="10" xfId="0" applyNumberFormat="1" applyFont="1" applyFill="1" applyBorder="1" applyAlignment="1">
      <alignment horizontal="center" wrapText="1"/>
    </xf>
    <xf numFmtId="2" fontId="5" fillId="0" borderId="10" xfId="0" applyNumberFormat="1" applyFont="1" applyFill="1" applyBorder="1" applyAlignment="1">
      <alignment horizontal="center" wrapText="1"/>
    </xf>
    <xf numFmtId="180" fontId="5" fillId="0" borderId="10" xfId="0" applyNumberFormat="1" applyFont="1" applyFill="1" applyBorder="1" applyAlignment="1">
      <alignment vertical="center" wrapText="1"/>
    </xf>
    <xf numFmtId="179" fontId="5" fillId="0" borderId="10" xfId="0" applyNumberFormat="1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wrapText="1"/>
    </xf>
    <xf numFmtId="0" fontId="5" fillId="0" borderId="18" xfId="0" applyFont="1" applyFill="1" applyBorder="1" applyAlignment="1">
      <alignment horizontal="center" wrapText="1"/>
    </xf>
    <xf numFmtId="0" fontId="5" fillId="0" borderId="31" xfId="0" applyFont="1" applyFill="1" applyBorder="1" applyAlignment="1">
      <alignment horizont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178" fontId="5" fillId="0" borderId="10" xfId="0" applyNumberFormat="1" applyFont="1" applyFill="1" applyBorder="1" applyAlignment="1">
      <alignment horizontal="center" vertical="center" wrapText="1"/>
    </xf>
    <xf numFmtId="177" fontId="5" fillId="0" borderId="10" xfId="0" applyNumberFormat="1" applyFont="1" applyFill="1" applyBorder="1" applyAlignment="1">
      <alignment horizontal="center" vertical="center" wrapText="1"/>
    </xf>
    <xf numFmtId="0" fontId="5" fillId="0" borderId="10" xfId="0" applyNumberFormat="1" applyFont="1" applyFill="1" applyBorder="1" applyAlignment="1">
      <alignment horizontal="center" vertical="center" wrapText="1"/>
    </xf>
    <xf numFmtId="2" fontId="5" fillId="0" borderId="10" xfId="0" applyNumberFormat="1" applyFont="1" applyFill="1" applyBorder="1" applyAlignment="1">
      <alignment horizontal="center" vertical="center" wrapText="1"/>
    </xf>
    <xf numFmtId="180" fontId="5" fillId="0" borderId="10" xfId="0" applyNumberFormat="1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/>
    </xf>
    <xf numFmtId="14" fontId="5" fillId="0" borderId="21" xfId="0" applyNumberFormat="1" applyFont="1" applyFill="1" applyBorder="1" applyAlignment="1">
      <alignment horizontal="center" vertical="center" wrapText="1"/>
    </xf>
    <xf numFmtId="178" fontId="5" fillId="0" borderId="21" xfId="0" applyNumberFormat="1" applyFont="1" applyFill="1" applyBorder="1" applyAlignment="1">
      <alignment horizontal="center" vertical="center" wrapText="1"/>
    </xf>
    <xf numFmtId="177" fontId="5" fillId="0" borderId="21" xfId="0" applyNumberFormat="1" applyFont="1" applyFill="1" applyBorder="1" applyAlignment="1">
      <alignment horizontal="center" vertical="center" wrapText="1"/>
    </xf>
    <xf numFmtId="0" fontId="5" fillId="0" borderId="21" xfId="0" applyNumberFormat="1" applyFont="1" applyFill="1" applyBorder="1" applyAlignment="1">
      <alignment horizontal="center" vertical="center" wrapText="1"/>
    </xf>
    <xf numFmtId="2" fontId="5" fillId="0" borderId="21" xfId="0" applyNumberFormat="1" applyFont="1" applyFill="1" applyBorder="1" applyAlignment="1">
      <alignment horizontal="center" vertical="center" wrapText="1"/>
    </xf>
    <xf numFmtId="180" fontId="5" fillId="0" borderId="21" xfId="0" applyNumberFormat="1" applyFont="1" applyFill="1" applyBorder="1" applyAlignment="1">
      <alignment horizontal="center" vertical="center" wrapText="1"/>
    </xf>
    <xf numFmtId="179" fontId="5" fillId="0" borderId="21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37" fillId="0" borderId="1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</cellXfs>
  <cellStyles count="129">
    <cellStyle name="20% - 강조색1 2" xfId="1" xr:uid="{00000000-0005-0000-0000-000000000000}"/>
    <cellStyle name="20% - 강조색2 2" xfId="2" xr:uid="{00000000-0005-0000-0000-000001000000}"/>
    <cellStyle name="20% - 강조색3 2" xfId="3" xr:uid="{00000000-0005-0000-0000-000002000000}"/>
    <cellStyle name="20% - 강조색4 2" xfId="4" xr:uid="{00000000-0005-0000-0000-000003000000}"/>
    <cellStyle name="20% - 강조색5 2" xfId="5" xr:uid="{00000000-0005-0000-0000-000004000000}"/>
    <cellStyle name="20% - 강조색6 2" xfId="6" xr:uid="{00000000-0005-0000-0000-000005000000}"/>
    <cellStyle name="40% - 강조색1 2" xfId="7" xr:uid="{00000000-0005-0000-0000-000006000000}"/>
    <cellStyle name="40% - 강조색2 2" xfId="8" xr:uid="{00000000-0005-0000-0000-000007000000}"/>
    <cellStyle name="40% - 강조색3 2" xfId="9" xr:uid="{00000000-0005-0000-0000-000008000000}"/>
    <cellStyle name="40% - 강조색4 2" xfId="10" xr:uid="{00000000-0005-0000-0000-000009000000}"/>
    <cellStyle name="40% - 강조색5 2" xfId="11" xr:uid="{00000000-0005-0000-0000-00000A000000}"/>
    <cellStyle name="40% - 강조색6 2" xfId="12" xr:uid="{00000000-0005-0000-0000-00000B000000}"/>
    <cellStyle name="60% - 강조색1 2" xfId="13" xr:uid="{00000000-0005-0000-0000-00000C000000}"/>
    <cellStyle name="60% - 강조색2 2" xfId="14" xr:uid="{00000000-0005-0000-0000-00000D000000}"/>
    <cellStyle name="60% - 강조색3 2" xfId="15" xr:uid="{00000000-0005-0000-0000-00000E000000}"/>
    <cellStyle name="60% - 강조색4 2" xfId="16" xr:uid="{00000000-0005-0000-0000-00000F000000}"/>
    <cellStyle name="60% - 강조색5 2" xfId="17" xr:uid="{00000000-0005-0000-0000-000010000000}"/>
    <cellStyle name="60% - 강조색6 2" xfId="18" xr:uid="{00000000-0005-0000-0000-000011000000}"/>
    <cellStyle name="강조색1 2" xfId="19" xr:uid="{00000000-0005-0000-0000-000012000000}"/>
    <cellStyle name="강조색2 2" xfId="20" xr:uid="{00000000-0005-0000-0000-000013000000}"/>
    <cellStyle name="강조색3 2" xfId="21" xr:uid="{00000000-0005-0000-0000-000014000000}"/>
    <cellStyle name="강조색4 2" xfId="22" xr:uid="{00000000-0005-0000-0000-000015000000}"/>
    <cellStyle name="강조색5 2" xfId="23" xr:uid="{00000000-0005-0000-0000-000016000000}"/>
    <cellStyle name="강조색6 2" xfId="24" xr:uid="{00000000-0005-0000-0000-000017000000}"/>
    <cellStyle name="경고문 2" xfId="25" xr:uid="{00000000-0005-0000-0000-000018000000}"/>
    <cellStyle name="계산 2" xfId="26" xr:uid="{00000000-0005-0000-0000-000019000000}"/>
    <cellStyle name="나쁨 2" xfId="27" xr:uid="{00000000-0005-0000-0000-00001A000000}"/>
    <cellStyle name="메모 2" xfId="28" xr:uid="{00000000-0005-0000-0000-00001B000000}"/>
    <cellStyle name="백분율 2" xfId="29" xr:uid="{00000000-0005-0000-0000-00001C000000}"/>
    <cellStyle name="보통 2" xfId="30" xr:uid="{00000000-0005-0000-0000-00001D000000}"/>
    <cellStyle name="설명 텍스트 2" xfId="31" xr:uid="{00000000-0005-0000-0000-00001E000000}"/>
    <cellStyle name="셀 확인 2" xfId="32" xr:uid="{00000000-0005-0000-0000-00001F000000}"/>
    <cellStyle name="쉼표 [0] 2" xfId="33" xr:uid="{00000000-0005-0000-0000-000020000000}"/>
    <cellStyle name="쉼표 [0] 2 2" xfId="119" xr:uid="{00000000-0005-0000-0000-000021000000}"/>
    <cellStyle name="연결된 셀 2" xfId="34" xr:uid="{00000000-0005-0000-0000-000022000000}"/>
    <cellStyle name="요약 2" xfId="35" xr:uid="{00000000-0005-0000-0000-000023000000}"/>
    <cellStyle name="입력 2" xfId="36" xr:uid="{00000000-0005-0000-0000-000024000000}"/>
    <cellStyle name="제목 1 2" xfId="37" xr:uid="{00000000-0005-0000-0000-000025000000}"/>
    <cellStyle name="제목 2 2" xfId="38" xr:uid="{00000000-0005-0000-0000-000026000000}"/>
    <cellStyle name="제목 3 2" xfId="39" xr:uid="{00000000-0005-0000-0000-000027000000}"/>
    <cellStyle name="제목 4 2" xfId="40" xr:uid="{00000000-0005-0000-0000-000028000000}"/>
    <cellStyle name="제목 5" xfId="41" xr:uid="{00000000-0005-0000-0000-000029000000}"/>
    <cellStyle name="좋음 2" xfId="42" xr:uid="{00000000-0005-0000-0000-00002A000000}"/>
    <cellStyle name="출력 2" xfId="43" xr:uid="{00000000-0005-0000-0000-00002B000000}"/>
    <cellStyle name="표준" xfId="0" builtinId="0"/>
    <cellStyle name="표준 10" xfId="44" xr:uid="{00000000-0005-0000-0000-00002D000000}"/>
    <cellStyle name="표준 10 2" xfId="45" xr:uid="{00000000-0005-0000-0000-00002E000000}"/>
    <cellStyle name="표준 10 3" xfId="46" xr:uid="{00000000-0005-0000-0000-00002F000000}"/>
    <cellStyle name="표준 11" xfId="47" xr:uid="{00000000-0005-0000-0000-000030000000}"/>
    <cellStyle name="표준 11 2" xfId="48" xr:uid="{00000000-0005-0000-0000-000031000000}"/>
    <cellStyle name="표준 12" xfId="49" xr:uid="{00000000-0005-0000-0000-000032000000}"/>
    <cellStyle name="표준 12 2" xfId="50" xr:uid="{00000000-0005-0000-0000-000033000000}"/>
    <cellStyle name="표준 13" xfId="51" xr:uid="{00000000-0005-0000-0000-000034000000}"/>
    <cellStyle name="표준 13 2" xfId="52" xr:uid="{00000000-0005-0000-0000-000035000000}"/>
    <cellStyle name="표준 14" xfId="53" xr:uid="{00000000-0005-0000-0000-000036000000}"/>
    <cellStyle name="표준 15" xfId="54" xr:uid="{00000000-0005-0000-0000-000037000000}"/>
    <cellStyle name="표준 15 2" xfId="55" xr:uid="{00000000-0005-0000-0000-000038000000}"/>
    <cellStyle name="표준 16" xfId="56" xr:uid="{00000000-0005-0000-0000-000039000000}"/>
    <cellStyle name="표준 16 2" xfId="57" xr:uid="{00000000-0005-0000-0000-00003A000000}"/>
    <cellStyle name="표준 17" xfId="58" xr:uid="{00000000-0005-0000-0000-00003B000000}"/>
    <cellStyle name="표준 18" xfId="59" xr:uid="{00000000-0005-0000-0000-00003C000000}"/>
    <cellStyle name="표준 19" xfId="60" xr:uid="{00000000-0005-0000-0000-00003D000000}"/>
    <cellStyle name="표준 2" xfId="61" xr:uid="{00000000-0005-0000-0000-00003E000000}"/>
    <cellStyle name="표준 2 2" xfId="62" xr:uid="{00000000-0005-0000-0000-00003F000000}"/>
    <cellStyle name="표준 2 2 2" xfId="63" xr:uid="{00000000-0005-0000-0000-000040000000}"/>
    <cellStyle name="표준 2 2 3" xfId="64" xr:uid="{00000000-0005-0000-0000-000041000000}"/>
    <cellStyle name="표준 2 3" xfId="65" xr:uid="{00000000-0005-0000-0000-000042000000}"/>
    <cellStyle name="표준 2 4" xfId="66" xr:uid="{00000000-0005-0000-0000-000043000000}"/>
    <cellStyle name="표준 2 5" xfId="67" xr:uid="{00000000-0005-0000-0000-000044000000}"/>
    <cellStyle name="표준 2 6" xfId="68" xr:uid="{00000000-0005-0000-0000-000045000000}"/>
    <cellStyle name="표준 2 7" xfId="120" xr:uid="{00000000-0005-0000-0000-000046000000}"/>
    <cellStyle name="표준 20" xfId="69" xr:uid="{00000000-0005-0000-0000-000047000000}"/>
    <cellStyle name="표준 21" xfId="70" xr:uid="{00000000-0005-0000-0000-000048000000}"/>
    <cellStyle name="표준 22" xfId="71" xr:uid="{00000000-0005-0000-0000-000049000000}"/>
    <cellStyle name="표준 23" xfId="72" xr:uid="{00000000-0005-0000-0000-00004A000000}"/>
    <cellStyle name="표준 24" xfId="73" xr:uid="{00000000-0005-0000-0000-00004B000000}"/>
    <cellStyle name="표준 25" xfId="74" xr:uid="{00000000-0005-0000-0000-00004C000000}"/>
    <cellStyle name="표준 26" xfId="75" xr:uid="{00000000-0005-0000-0000-00004D000000}"/>
    <cellStyle name="표준 27" xfId="76" xr:uid="{00000000-0005-0000-0000-00004E000000}"/>
    <cellStyle name="표준 28" xfId="77" xr:uid="{00000000-0005-0000-0000-00004F000000}"/>
    <cellStyle name="표준 28 2" xfId="78" xr:uid="{00000000-0005-0000-0000-000050000000}"/>
    <cellStyle name="표준 28 2 2" xfId="79" xr:uid="{00000000-0005-0000-0000-000051000000}"/>
    <cellStyle name="표준 28 3" xfId="80" xr:uid="{00000000-0005-0000-0000-000052000000}"/>
    <cellStyle name="표준 28 4" xfId="81" xr:uid="{00000000-0005-0000-0000-000053000000}"/>
    <cellStyle name="표준 29" xfId="82" xr:uid="{00000000-0005-0000-0000-000054000000}"/>
    <cellStyle name="표준 3" xfId="83" xr:uid="{00000000-0005-0000-0000-000055000000}"/>
    <cellStyle name="표준 3 2" xfId="84" xr:uid="{00000000-0005-0000-0000-000056000000}"/>
    <cellStyle name="표준 3 3" xfId="121" xr:uid="{00000000-0005-0000-0000-000057000000}"/>
    <cellStyle name="표준 3 4" xfId="117" xr:uid="{00000000-0005-0000-0000-000058000000}"/>
    <cellStyle name="표준 30" xfId="85" xr:uid="{00000000-0005-0000-0000-000059000000}"/>
    <cellStyle name="표준 31" xfId="86" xr:uid="{00000000-0005-0000-0000-00005A000000}"/>
    <cellStyle name="표준 32" xfId="87" xr:uid="{00000000-0005-0000-0000-00005B000000}"/>
    <cellStyle name="표준 33" xfId="88" xr:uid="{00000000-0005-0000-0000-00005C000000}"/>
    <cellStyle name="표준 34" xfId="89" xr:uid="{00000000-0005-0000-0000-00005D000000}"/>
    <cellStyle name="표준 35" xfId="90" xr:uid="{00000000-0005-0000-0000-00005E000000}"/>
    <cellStyle name="표준 36" xfId="91" xr:uid="{00000000-0005-0000-0000-00005F000000}"/>
    <cellStyle name="표준 37" xfId="92" xr:uid="{00000000-0005-0000-0000-000060000000}"/>
    <cellStyle name="표준 38" xfId="93" xr:uid="{00000000-0005-0000-0000-000061000000}"/>
    <cellStyle name="표준 39" xfId="94" xr:uid="{00000000-0005-0000-0000-000062000000}"/>
    <cellStyle name="표준 4" xfId="95" xr:uid="{00000000-0005-0000-0000-000063000000}"/>
    <cellStyle name="표준 4 2" xfId="96" xr:uid="{00000000-0005-0000-0000-000064000000}"/>
    <cellStyle name="표준 4 3" xfId="97" xr:uid="{00000000-0005-0000-0000-000065000000}"/>
    <cellStyle name="표준 40" xfId="98" xr:uid="{00000000-0005-0000-0000-000066000000}"/>
    <cellStyle name="표준 41" xfId="99" xr:uid="{00000000-0005-0000-0000-000067000000}"/>
    <cellStyle name="표준 42" xfId="118" xr:uid="{00000000-0005-0000-0000-000068000000}"/>
    <cellStyle name="표준 43" xfId="123" xr:uid="{00000000-0005-0000-0000-000069000000}"/>
    <cellStyle name="표준 44" xfId="124" xr:uid="{00000000-0005-0000-0000-00006A000000}"/>
    <cellStyle name="표준 45" xfId="125" xr:uid="{00000000-0005-0000-0000-00006B000000}"/>
    <cellStyle name="표준 46" xfId="126" xr:uid="{00000000-0005-0000-0000-00006C000000}"/>
    <cellStyle name="표준 47" xfId="127" xr:uid="{00000000-0005-0000-0000-00006D000000}"/>
    <cellStyle name="표준 48" xfId="116" xr:uid="{00000000-0005-0000-0000-00006E000000}"/>
    <cellStyle name="표준 49" xfId="122" xr:uid="{00000000-0005-0000-0000-00006F000000}"/>
    <cellStyle name="표준 5" xfId="100" xr:uid="{00000000-0005-0000-0000-000070000000}"/>
    <cellStyle name="표준 5 2" xfId="101" xr:uid="{00000000-0005-0000-0000-000071000000}"/>
    <cellStyle name="표준 5 3" xfId="102" xr:uid="{00000000-0005-0000-0000-000072000000}"/>
    <cellStyle name="표준 5 4" xfId="103" xr:uid="{00000000-0005-0000-0000-000073000000}"/>
    <cellStyle name="표준 6" xfId="104" xr:uid="{00000000-0005-0000-0000-000074000000}"/>
    <cellStyle name="표준 6 2" xfId="105" xr:uid="{00000000-0005-0000-0000-000075000000}"/>
    <cellStyle name="표준 6 3" xfId="106" xr:uid="{00000000-0005-0000-0000-000076000000}"/>
    <cellStyle name="표준 7" xfId="107" xr:uid="{00000000-0005-0000-0000-000077000000}"/>
    <cellStyle name="표준 7 2" xfId="108" xr:uid="{00000000-0005-0000-0000-000078000000}"/>
    <cellStyle name="표준 8" xfId="109" xr:uid="{00000000-0005-0000-0000-000079000000}"/>
    <cellStyle name="표준 8 2" xfId="110" xr:uid="{00000000-0005-0000-0000-00007A000000}"/>
    <cellStyle name="표준 8 3" xfId="111" xr:uid="{00000000-0005-0000-0000-00007B000000}"/>
    <cellStyle name="표준 9" xfId="112" xr:uid="{00000000-0005-0000-0000-00007C000000}"/>
    <cellStyle name="표준 9 2" xfId="113" xr:uid="{00000000-0005-0000-0000-00007D000000}"/>
    <cellStyle name="표준 9 3" xfId="114" xr:uid="{00000000-0005-0000-0000-00007E000000}"/>
    <cellStyle name="표준 9 4" xfId="115" xr:uid="{00000000-0005-0000-0000-00007F000000}"/>
    <cellStyle name="표준_유량측정현황" xfId="128" xr:uid="{00000000-0005-0000-0000-000080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 fitToPage="1"/>
  </sheetPr>
  <dimension ref="A1:V298"/>
  <sheetViews>
    <sheetView tabSelected="1" view="pageBreakPreview" zoomScale="85" zoomScaleNormal="100" zoomScaleSheetLayoutView="85" workbookViewId="0">
      <pane xSplit="3" ySplit="6" topLeftCell="D7" activePane="bottomRight" state="frozen"/>
      <selection pane="topRight" activeCell="G1" sqref="G1"/>
      <selection pane="bottomLeft" activeCell="A7" sqref="A7"/>
      <selection pane="bottomRight" activeCell="D8" sqref="D8"/>
    </sheetView>
  </sheetViews>
  <sheetFormatPr defaultRowHeight="27" customHeight="1" x14ac:dyDescent="0.15"/>
  <cols>
    <col min="1" max="1" width="8.5546875" style="1" bestFit="1" customWidth="1"/>
    <col min="2" max="2" width="9.33203125" style="1" bestFit="1" customWidth="1"/>
    <col min="3" max="3" width="16.5546875" style="1" bestFit="1" customWidth="1"/>
    <col min="4" max="4" width="39.109375" style="1" customWidth="1"/>
    <col min="5" max="5" width="11.77734375" style="1" customWidth="1"/>
    <col min="6" max="6" width="8.88671875" style="1" customWidth="1"/>
    <col min="7" max="7" width="15.88671875" style="1" customWidth="1"/>
    <col min="8" max="8" width="19" style="19" customWidth="1"/>
    <col min="9" max="9" width="38.77734375" style="5" bestFit="1" customWidth="1"/>
    <col min="10" max="13" width="10.6640625" style="1" customWidth="1"/>
    <col min="14" max="14" width="12.21875" style="11" bestFit="1" customWidth="1"/>
    <col min="15" max="15" width="9.44140625" style="1" bestFit="1" customWidth="1"/>
    <col min="16" max="16" width="9.77734375" style="7" bestFit="1" customWidth="1"/>
    <col min="17" max="17" width="10" style="12" bestFit="1" customWidth="1"/>
    <col min="18" max="18" width="10.5546875" style="6" bestFit="1" customWidth="1"/>
    <col min="19" max="19" width="13" style="1" bestFit="1" customWidth="1"/>
    <col min="20" max="20" width="9" style="14" bestFit="1" customWidth="1"/>
    <col min="21" max="21" width="12.21875" style="15" customWidth="1"/>
    <col min="22" max="22" width="9.21875" style="1" bestFit="1" customWidth="1"/>
    <col min="23" max="16384" width="8.88671875" style="2"/>
  </cols>
  <sheetData>
    <row r="1" spans="1:22" ht="27" customHeight="1" x14ac:dyDescent="0.15">
      <c r="A1" s="93" t="s">
        <v>2315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</row>
    <row r="2" spans="1:22" s="1" customFormat="1" ht="34.5" customHeight="1" thickBot="1" x14ac:dyDescent="0.2">
      <c r="A2" s="94" t="s">
        <v>2314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</row>
    <row r="3" spans="1:22" s="3" customFormat="1" ht="32.25" customHeight="1" x14ac:dyDescent="0.15">
      <c r="A3" s="95" t="s">
        <v>0</v>
      </c>
      <c r="B3" s="95" t="s">
        <v>1</v>
      </c>
      <c r="C3" s="96" t="s">
        <v>2</v>
      </c>
      <c r="D3" s="97"/>
      <c r="E3" s="95" t="s">
        <v>3</v>
      </c>
      <c r="F3" s="95" t="s">
        <v>4</v>
      </c>
      <c r="G3" s="95" t="s">
        <v>1754</v>
      </c>
      <c r="H3" s="95" t="s">
        <v>2195</v>
      </c>
      <c r="I3" s="98" t="s">
        <v>826</v>
      </c>
      <c r="J3" s="99"/>
      <c r="K3" s="99"/>
      <c r="L3" s="99"/>
      <c r="M3" s="100"/>
      <c r="N3" s="101" t="s">
        <v>827</v>
      </c>
      <c r="O3" s="102" t="s">
        <v>5</v>
      </c>
      <c r="P3" s="103" t="s">
        <v>6</v>
      </c>
      <c r="Q3" s="104" t="s">
        <v>7</v>
      </c>
      <c r="R3" s="105" t="s">
        <v>8</v>
      </c>
      <c r="S3" s="106" t="s">
        <v>9</v>
      </c>
      <c r="T3" s="107" t="s">
        <v>10</v>
      </c>
      <c r="U3" s="108" t="s">
        <v>929</v>
      </c>
      <c r="V3" s="95" t="s">
        <v>1</v>
      </c>
    </row>
    <row r="4" spans="1:22" s="4" customFormat="1" ht="27" customHeight="1" x14ac:dyDescent="0.15">
      <c r="A4" s="109" t="s">
        <v>11</v>
      </c>
      <c r="B4" s="109" t="s">
        <v>12</v>
      </c>
      <c r="C4" s="110"/>
      <c r="D4" s="111"/>
      <c r="E4" s="112"/>
      <c r="F4" s="112"/>
      <c r="G4" s="112" t="s">
        <v>2196</v>
      </c>
      <c r="H4" s="112"/>
      <c r="I4" s="113" t="s">
        <v>828</v>
      </c>
      <c r="J4" s="114"/>
      <c r="K4" s="114"/>
      <c r="L4" s="114"/>
      <c r="M4" s="115"/>
      <c r="N4" s="116"/>
      <c r="O4" s="112" t="s">
        <v>14</v>
      </c>
      <c r="P4" s="117" t="s">
        <v>15</v>
      </c>
      <c r="Q4" s="118" t="s">
        <v>16</v>
      </c>
      <c r="R4" s="119" t="s">
        <v>17</v>
      </c>
      <c r="S4" s="120" t="s">
        <v>18</v>
      </c>
      <c r="T4" s="121"/>
      <c r="U4" s="122" t="s">
        <v>1358</v>
      </c>
      <c r="V4" s="112" t="s">
        <v>19</v>
      </c>
    </row>
    <row r="5" spans="1:22" s="4" customFormat="1" ht="27" customHeight="1" x14ac:dyDescent="0.15">
      <c r="A5" s="123" t="s">
        <v>829</v>
      </c>
      <c r="B5" s="123" t="s">
        <v>20</v>
      </c>
      <c r="C5" s="124" t="s">
        <v>20</v>
      </c>
      <c r="D5" s="125"/>
      <c r="E5" s="123" t="s">
        <v>32</v>
      </c>
      <c r="F5" s="126" t="s">
        <v>32</v>
      </c>
      <c r="G5" s="123" t="s">
        <v>21</v>
      </c>
      <c r="H5" s="123"/>
      <c r="I5" s="127" t="s">
        <v>830</v>
      </c>
      <c r="J5" s="112" t="s">
        <v>831</v>
      </c>
      <c r="K5" s="112" t="s">
        <v>13</v>
      </c>
      <c r="L5" s="112" t="s">
        <v>832</v>
      </c>
      <c r="M5" s="112" t="s">
        <v>833</v>
      </c>
      <c r="N5" s="116" t="s">
        <v>22</v>
      </c>
      <c r="O5" s="126" t="s">
        <v>23</v>
      </c>
      <c r="P5" s="128" t="s">
        <v>24</v>
      </c>
      <c r="Q5" s="129" t="s">
        <v>25</v>
      </c>
      <c r="R5" s="130" t="s">
        <v>26</v>
      </c>
      <c r="S5" s="131" t="s">
        <v>27</v>
      </c>
      <c r="T5" s="132" t="s">
        <v>28</v>
      </c>
      <c r="U5" s="122" t="s">
        <v>29</v>
      </c>
      <c r="V5" s="126" t="s">
        <v>30</v>
      </c>
    </row>
    <row r="6" spans="1:22" s="4" customFormat="1" ht="32.1" customHeight="1" thickBot="1" x14ac:dyDescent="0.2">
      <c r="A6" s="133" t="s">
        <v>516</v>
      </c>
      <c r="B6" s="133" t="s">
        <v>31</v>
      </c>
      <c r="C6" s="134" t="s">
        <v>834</v>
      </c>
      <c r="D6" s="135"/>
      <c r="E6" s="133" t="s">
        <v>835</v>
      </c>
      <c r="F6" s="136"/>
      <c r="G6" s="133" t="s">
        <v>33</v>
      </c>
      <c r="H6" s="133"/>
      <c r="I6" s="137" t="s">
        <v>34</v>
      </c>
      <c r="J6" s="133" t="s">
        <v>35</v>
      </c>
      <c r="K6" s="133" t="s">
        <v>35</v>
      </c>
      <c r="L6" s="133" t="s">
        <v>36</v>
      </c>
      <c r="M6" s="133" t="s">
        <v>36</v>
      </c>
      <c r="N6" s="138"/>
      <c r="O6" s="136"/>
      <c r="P6" s="139"/>
      <c r="Q6" s="140"/>
      <c r="R6" s="141"/>
      <c r="S6" s="142"/>
      <c r="T6" s="143"/>
      <c r="U6" s="144" t="s">
        <v>836</v>
      </c>
      <c r="V6" s="136"/>
    </row>
    <row r="7" spans="1:22" ht="27" customHeight="1" x14ac:dyDescent="0.15">
      <c r="A7" s="145">
        <v>1</v>
      </c>
      <c r="B7" s="75">
        <v>2001608</v>
      </c>
      <c r="C7" s="75" t="s">
        <v>1810</v>
      </c>
      <c r="D7" s="75" t="s">
        <v>1905</v>
      </c>
      <c r="E7" s="75" t="s">
        <v>46</v>
      </c>
      <c r="F7" s="75" t="s">
        <v>47</v>
      </c>
      <c r="G7" s="75" t="s">
        <v>507</v>
      </c>
      <c r="H7" s="75" t="s">
        <v>2299</v>
      </c>
      <c r="I7" s="22" t="s">
        <v>2306</v>
      </c>
      <c r="J7" s="77" t="s">
        <v>2307</v>
      </c>
      <c r="K7" s="9" t="str">
        <f>LEFT(TRIM(J7),7)&amp;TEXT(ROUND(RIGHT(TRIM(J7),LEN(TRIM(J7))-7),0),"00")</f>
        <v>129-00-22</v>
      </c>
      <c r="L7" s="78" t="s">
        <v>2308</v>
      </c>
      <c r="M7" s="9" t="str">
        <f t="shared" ref="M7" si="0">LEFT(TRIM(L7),6)&amp;TEXT(ROUND(RIGHT(TRIM(L7),LEN(TRIM(L7))-6),0),"00")</f>
        <v>37-06-14</v>
      </c>
      <c r="N7" s="79">
        <v>45658</v>
      </c>
      <c r="O7" s="22" t="s">
        <v>38</v>
      </c>
      <c r="P7" s="80">
        <v>574.91399999999999</v>
      </c>
      <c r="Q7" s="80">
        <v>584.27</v>
      </c>
      <c r="R7" s="81">
        <v>10</v>
      </c>
      <c r="S7" s="41" t="str">
        <f>IF(COUNTA(#REF!)=1,"유","무")</f>
        <v>유</v>
      </c>
      <c r="T7" s="82">
        <v>126.33</v>
      </c>
      <c r="U7" s="82">
        <v>10.32</v>
      </c>
      <c r="V7" s="75"/>
    </row>
    <row r="8" spans="1:22" ht="27" customHeight="1" x14ac:dyDescent="0.15">
      <c r="A8" s="145">
        <v>2</v>
      </c>
      <c r="B8" s="75">
        <v>2001610</v>
      </c>
      <c r="C8" s="75" t="s">
        <v>342</v>
      </c>
      <c r="D8" s="75" t="s">
        <v>1487</v>
      </c>
      <c r="E8" s="75" t="s">
        <v>46</v>
      </c>
      <c r="F8" s="75" t="s">
        <v>47</v>
      </c>
      <c r="G8" s="75" t="s">
        <v>507</v>
      </c>
      <c r="H8" s="42" t="s">
        <v>82</v>
      </c>
      <c r="I8" s="22" t="s">
        <v>837</v>
      </c>
      <c r="J8" s="77" t="s">
        <v>521</v>
      </c>
      <c r="K8" s="9" t="str">
        <f>LEFT(TRIM(J8),7)&amp;TEXT(ROUND(RIGHT(TRIM(J8),LEN(TRIM(J8))-7),0),"00")</f>
        <v>129-01-02</v>
      </c>
      <c r="L8" s="78" t="s">
        <v>673</v>
      </c>
      <c r="M8" s="9" t="str">
        <f t="shared" ref="M8:M110" si="1">LEFT(TRIM(L8),6)&amp;TEXT(ROUND(RIGHT(TRIM(L8),LEN(TRIM(L8))-6),0),"00")</f>
        <v>37-05-45</v>
      </c>
      <c r="N8" s="79">
        <v>40179</v>
      </c>
      <c r="O8" s="42" t="s">
        <v>38</v>
      </c>
      <c r="P8" s="80">
        <v>550.39</v>
      </c>
      <c r="Q8" s="80">
        <v>560.05899999999997</v>
      </c>
      <c r="R8" s="81">
        <v>10</v>
      </c>
      <c r="S8" s="41" t="str">
        <f>IF(COUNTA(#REF!)=1,"유","무")</f>
        <v>유</v>
      </c>
      <c r="T8" s="82">
        <v>126.33</v>
      </c>
      <c r="U8" s="82">
        <v>7.13</v>
      </c>
      <c r="V8" s="75" t="s">
        <v>39</v>
      </c>
    </row>
    <row r="9" spans="1:22" ht="27" customHeight="1" x14ac:dyDescent="0.15">
      <c r="A9" s="145">
        <v>3</v>
      </c>
      <c r="B9" s="8">
        <v>2001615</v>
      </c>
      <c r="C9" s="42" t="s">
        <v>838</v>
      </c>
      <c r="D9" s="42" t="s">
        <v>1488</v>
      </c>
      <c r="E9" s="8" t="s">
        <v>46</v>
      </c>
      <c r="F9" s="8" t="s">
        <v>46</v>
      </c>
      <c r="G9" s="75" t="s">
        <v>507</v>
      </c>
      <c r="H9" s="42" t="s">
        <v>1742</v>
      </c>
      <c r="I9" s="8" t="s">
        <v>839</v>
      </c>
      <c r="J9" s="43" t="s">
        <v>522</v>
      </c>
      <c r="K9" s="8" t="str">
        <f t="shared" ref="K9:K113" si="2">LEFT(TRIM(J9),7)&amp;TEXT(ROUND(RIGHT(TRIM(J9),LEN(TRIM(J9))-7),0),"00")</f>
        <v>129-02-38</v>
      </c>
      <c r="L9" s="44" t="s">
        <v>674</v>
      </c>
      <c r="M9" s="8" t="str">
        <f t="shared" si="1"/>
        <v>37-03-51</v>
      </c>
      <c r="N9" s="83">
        <v>40603</v>
      </c>
      <c r="O9" s="8" t="s">
        <v>38</v>
      </c>
      <c r="P9" s="46">
        <v>485.46800000000002</v>
      </c>
      <c r="Q9" s="46">
        <v>493.28300000000002</v>
      </c>
      <c r="R9" s="8">
        <v>7</v>
      </c>
      <c r="S9" s="41" t="str">
        <f>IF(COUNTA(#REF!)=1,"유","무")</f>
        <v>유</v>
      </c>
      <c r="T9" s="84">
        <v>200</v>
      </c>
      <c r="U9" s="84">
        <v>485</v>
      </c>
      <c r="V9" s="8" t="s">
        <v>39</v>
      </c>
    </row>
    <row r="10" spans="1:22" ht="27" customHeight="1" x14ac:dyDescent="0.15">
      <c r="A10" s="145">
        <v>4</v>
      </c>
      <c r="B10" s="42">
        <v>2001625</v>
      </c>
      <c r="C10" s="42" t="s">
        <v>343</v>
      </c>
      <c r="D10" s="42" t="s">
        <v>1489</v>
      </c>
      <c r="E10" s="42" t="s">
        <v>46</v>
      </c>
      <c r="F10" s="42" t="s">
        <v>49</v>
      </c>
      <c r="G10" s="75" t="s">
        <v>507</v>
      </c>
      <c r="H10" s="42" t="s">
        <v>50</v>
      </c>
      <c r="I10" s="42" t="s">
        <v>840</v>
      </c>
      <c r="J10" s="43" t="s">
        <v>523</v>
      </c>
      <c r="K10" s="8" t="str">
        <f t="shared" si="2"/>
        <v>129-06-37</v>
      </c>
      <c r="L10" s="44" t="s">
        <v>675</v>
      </c>
      <c r="M10" s="8" t="str">
        <f t="shared" si="1"/>
        <v>36-56-04</v>
      </c>
      <c r="N10" s="45">
        <v>42370</v>
      </c>
      <c r="O10" s="42" t="s">
        <v>38</v>
      </c>
      <c r="P10" s="46">
        <v>409.488</v>
      </c>
      <c r="Q10" s="46">
        <v>418.04599999999999</v>
      </c>
      <c r="R10" s="85">
        <v>4</v>
      </c>
      <c r="S10" s="41" t="str">
        <f>IF(COUNTA(#REF!)=1,"유","무")</f>
        <v>유</v>
      </c>
      <c r="T10" s="86">
        <v>76.37</v>
      </c>
      <c r="U10" s="86">
        <v>5.68</v>
      </c>
      <c r="V10" s="42" t="s">
        <v>39</v>
      </c>
    </row>
    <row r="11" spans="1:22" ht="27" customHeight="1" x14ac:dyDescent="0.15">
      <c r="A11" s="145">
        <v>5</v>
      </c>
      <c r="B11" s="42">
        <v>2001628</v>
      </c>
      <c r="C11" s="42" t="s">
        <v>344</v>
      </c>
      <c r="D11" s="42" t="s">
        <v>1490</v>
      </c>
      <c r="E11" s="42" t="s">
        <v>46</v>
      </c>
      <c r="F11" s="42" t="s">
        <v>46</v>
      </c>
      <c r="G11" s="75" t="s">
        <v>507</v>
      </c>
      <c r="H11" s="42" t="s">
        <v>1670</v>
      </c>
      <c r="I11" s="42" t="s">
        <v>503</v>
      </c>
      <c r="J11" s="43" t="s">
        <v>524</v>
      </c>
      <c r="K11" s="8" t="str">
        <f t="shared" si="2"/>
        <v>129-03-24</v>
      </c>
      <c r="L11" s="44" t="s">
        <v>676</v>
      </c>
      <c r="M11" s="8" t="str">
        <f t="shared" si="1"/>
        <v>36-55-49</v>
      </c>
      <c r="N11" s="45">
        <v>40179</v>
      </c>
      <c r="O11" s="42" t="s">
        <v>38</v>
      </c>
      <c r="P11" s="46">
        <v>317.71300000000002</v>
      </c>
      <c r="Q11" s="46">
        <v>328.01</v>
      </c>
      <c r="R11" s="85">
        <v>10</v>
      </c>
      <c r="S11" s="41" t="str">
        <f>IF(COUNTA(#REF!)=1,"유","무")</f>
        <v>유</v>
      </c>
      <c r="T11" s="86">
        <v>510.53</v>
      </c>
      <c r="U11" s="86">
        <v>443.89</v>
      </c>
      <c r="V11" s="42" t="s">
        <v>39</v>
      </c>
    </row>
    <row r="12" spans="1:22" ht="27" customHeight="1" x14ac:dyDescent="0.15">
      <c r="A12" s="145">
        <v>6</v>
      </c>
      <c r="B12" s="42">
        <v>2001640</v>
      </c>
      <c r="C12" s="42" t="s">
        <v>2292</v>
      </c>
      <c r="D12" s="42" t="s">
        <v>2293</v>
      </c>
      <c r="E12" s="42" t="s">
        <v>46</v>
      </c>
      <c r="F12" s="42" t="s">
        <v>1989</v>
      </c>
      <c r="G12" s="75" t="s">
        <v>507</v>
      </c>
      <c r="H12" s="42" t="s">
        <v>2300</v>
      </c>
      <c r="I12" s="42" t="s">
        <v>2256</v>
      </c>
      <c r="J12" s="8" t="s">
        <v>2063</v>
      </c>
      <c r="K12" s="8" t="str">
        <f>LEFT(TRIM(J12),7)&amp;TEXT(ROUND(RIGHT(TRIM(J12),LEN(TRIM(J12))-7),0),"00")</f>
        <v>129-00-02</v>
      </c>
      <c r="L12" s="8" t="s">
        <v>2158</v>
      </c>
      <c r="M12" s="8" t="str">
        <f>LEFT(TRIM(L12),6)&amp;TEXT(ROUND(RIGHT(TRIM(L12),LEN(TRIM(L12))-6),0),"00")</f>
        <v>36-56-28</v>
      </c>
      <c r="N12" s="45">
        <v>45658</v>
      </c>
      <c r="O12" s="42"/>
      <c r="P12" s="46">
        <v>309.31900000000002</v>
      </c>
      <c r="Q12" s="47">
        <v>317.08</v>
      </c>
      <c r="R12" s="85">
        <v>7</v>
      </c>
      <c r="S12" s="41" t="str">
        <f>IF(COUNTA(#REF!)=1,"유","무")</f>
        <v>유</v>
      </c>
      <c r="T12" s="86">
        <v>102.48699999999999</v>
      </c>
      <c r="U12" s="86">
        <v>3.0390000000000001</v>
      </c>
      <c r="V12" s="42"/>
    </row>
    <row r="13" spans="1:22" ht="27" customHeight="1" x14ac:dyDescent="0.15">
      <c r="A13" s="145">
        <v>7</v>
      </c>
      <c r="B13" s="42">
        <v>2001655</v>
      </c>
      <c r="C13" s="42" t="s">
        <v>345</v>
      </c>
      <c r="D13" s="41" t="s">
        <v>1491</v>
      </c>
      <c r="E13" s="41" t="s">
        <v>46</v>
      </c>
      <c r="F13" s="41" t="s">
        <v>54</v>
      </c>
      <c r="G13" s="75" t="s">
        <v>507</v>
      </c>
      <c r="H13" s="42" t="s">
        <v>2312</v>
      </c>
      <c r="I13" s="42" t="s">
        <v>229</v>
      </c>
      <c r="J13" s="43" t="s">
        <v>525</v>
      </c>
      <c r="K13" s="8" t="str">
        <f t="shared" si="2"/>
        <v>128-54-07</v>
      </c>
      <c r="L13" s="44" t="s">
        <v>677</v>
      </c>
      <c r="M13" s="8" t="str">
        <f t="shared" si="1"/>
        <v>36-51-34</v>
      </c>
      <c r="N13" s="45">
        <v>40179</v>
      </c>
      <c r="O13" s="42" t="s">
        <v>38</v>
      </c>
      <c r="P13" s="46">
        <v>197.233</v>
      </c>
      <c r="Q13" s="46">
        <v>205.42400000000001</v>
      </c>
      <c r="R13" s="85">
        <v>10</v>
      </c>
      <c r="S13" s="41" t="str">
        <f>IF(COUNTA(#REF!)=1,"유","무")</f>
        <v>유</v>
      </c>
      <c r="T13" s="86">
        <v>232.53</v>
      </c>
      <c r="U13" s="86">
        <v>0.09</v>
      </c>
      <c r="V13" s="42" t="s">
        <v>39</v>
      </c>
    </row>
    <row r="14" spans="1:22" ht="27" customHeight="1" x14ac:dyDescent="0.15">
      <c r="A14" s="145">
        <v>8</v>
      </c>
      <c r="B14" s="42">
        <v>2001668</v>
      </c>
      <c r="C14" s="42" t="s">
        <v>1822</v>
      </c>
      <c r="D14" s="42" t="s">
        <v>1916</v>
      </c>
      <c r="E14" s="42" t="s">
        <v>46</v>
      </c>
      <c r="F14" s="42" t="s">
        <v>1993</v>
      </c>
      <c r="G14" s="75" t="s">
        <v>507</v>
      </c>
      <c r="H14" s="42" t="s">
        <v>2299</v>
      </c>
      <c r="I14" s="42" t="s">
        <v>2264</v>
      </c>
      <c r="J14" s="8" t="s">
        <v>2071</v>
      </c>
      <c r="K14" s="8" t="str">
        <f>LEFT(TRIM(J14),7)&amp;TEXT(ROUND(RIGHT(TRIM(J14),LEN(TRIM(J14))-7),0),"00")</f>
        <v>128-54-25</v>
      </c>
      <c r="L14" s="8" t="s">
        <v>2166</v>
      </c>
      <c r="M14" s="8" t="str">
        <f>LEFT(TRIM(L14),6)&amp;TEXT(ROUND(RIGHT(TRIM(L14),LEN(TRIM(L14))-6),0),"00")</f>
        <v>36-40-33</v>
      </c>
      <c r="N14" s="45">
        <v>45658</v>
      </c>
      <c r="O14" s="42"/>
      <c r="P14" s="46">
        <v>157.86600000000001</v>
      </c>
      <c r="Q14" s="47">
        <v>163.32300000000001</v>
      </c>
      <c r="R14" s="85">
        <v>5</v>
      </c>
      <c r="S14" s="41" t="str">
        <f>IF(COUNTA(#REF!)=1,"유","무")</f>
        <v>유</v>
      </c>
      <c r="T14" s="86">
        <v>71.87</v>
      </c>
      <c r="U14" s="86">
        <v>2.3490000000000002</v>
      </c>
      <c r="V14" s="42"/>
    </row>
    <row r="15" spans="1:22" ht="27" customHeight="1" x14ac:dyDescent="0.15">
      <c r="A15" s="145">
        <v>9</v>
      </c>
      <c r="B15" s="42">
        <v>2002604</v>
      </c>
      <c r="C15" s="42" t="s">
        <v>1819</v>
      </c>
      <c r="D15" s="42" t="s">
        <v>1913</v>
      </c>
      <c r="E15" s="42" t="s">
        <v>46</v>
      </c>
      <c r="F15" s="42" t="s">
        <v>56</v>
      </c>
      <c r="G15" s="75" t="s">
        <v>507</v>
      </c>
      <c r="H15" s="42" t="s">
        <v>2303</v>
      </c>
      <c r="I15" s="42" t="s">
        <v>2261</v>
      </c>
      <c r="J15" s="8" t="s">
        <v>2068</v>
      </c>
      <c r="K15" s="8" t="str">
        <f>LEFT(TRIM(J15),7)&amp;TEXT(ROUND(RIGHT(TRIM(J15),LEN(TRIM(J15))-7),0),"00")</f>
        <v>129-08-19</v>
      </c>
      <c r="L15" s="8" t="s">
        <v>2163</v>
      </c>
      <c r="M15" s="8" t="str">
        <f>LEFT(TRIM(L15),6)&amp;TEXT(ROUND(RIGHT(TRIM(L15),LEN(TRIM(L15))-6),0),"00")</f>
        <v>36-42-25</v>
      </c>
      <c r="N15" s="45">
        <v>45658</v>
      </c>
      <c r="O15" s="42"/>
      <c r="P15" s="46">
        <v>262.38299999999998</v>
      </c>
      <c r="Q15" s="47">
        <v>269.12</v>
      </c>
      <c r="R15" s="85">
        <v>5</v>
      </c>
      <c r="S15" s="41" t="str">
        <f>IF(COUNTA(#REF!)=1,"유","무")</f>
        <v>유</v>
      </c>
      <c r="T15" s="86">
        <v>166.98500000000001</v>
      </c>
      <c r="U15" s="86">
        <v>87.76</v>
      </c>
      <c r="V15" s="42"/>
    </row>
    <row r="16" spans="1:22" ht="27" customHeight="1" x14ac:dyDescent="0.15">
      <c r="A16" s="145">
        <v>10</v>
      </c>
      <c r="B16" s="42">
        <v>2002607</v>
      </c>
      <c r="C16" s="42" t="s">
        <v>1818</v>
      </c>
      <c r="D16" s="42" t="s">
        <v>1912</v>
      </c>
      <c r="E16" s="42" t="s">
        <v>46</v>
      </c>
      <c r="F16" s="42" t="s">
        <v>1991</v>
      </c>
      <c r="G16" s="75" t="s">
        <v>507</v>
      </c>
      <c r="H16" s="42" t="s">
        <v>2301</v>
      </c>
      <c r="I16" s="42" t="s">
        <v>2260</v>
      </c>
      <c r="J16" s="8" t="s">
        <v>2067</v>
      </c>
      <c r="K16" s="8" t="str">
        <f>LEFT(TRIM(J16),7)&amp;TEXT(ROUND(RIGHT(TRIM(J16),LEN(TRIM(J16))-7),0),"00")</f>
        <v>129-11-06</v>
      </c>
      <c r="L16" s="8" t="s">
        <v>2162</v>
      </c>
      <c r="M16" s="8" t="str">
        <f>LEFT(TRIM(L16),6)&amp;TEXT(ROUND(RIGHT(TRIM(L16),LEN(TRIM(L16))-6),0),"00")</f>
        <v>36-42-41</v>
      </c>
      <c r="N16" s="45">
        <v>45658</v>
      </c>
      <c r="O16" s="42"/>
      <c r="P16" s="46">
        <v>318.11700000000002</v>
      </c>
      <c r="Q16" s="47">
        <v>323.92700000000002</v>
      </c>
      <c r="R16" s="85">
        <v>5</v>
      </c>
      <c r="S16" s="41" t="str">
        <f>IF(COUNTA(#REF!)=1,"유","무")</f>
        <v>유</v>
      </c>
      <c r="T16" s="86">
        <v>60.234999999999999</v>
      </c>
      <c r="U16" s="86">
        <v>5.3550000000000004</v>
      </c>
      <c r="V16" s="42"/>
    </row>
    <row r="17" spans="1:22" ht="27" customHeight="1" x14ac:dyDescent="0.15">
      <c r="A17" s="145">
        <v>11</v>
      </c>
      <c r="B17" s="42">
        <v>2002618</v>
      </c>
      <c r="C17" s="42" t="s">
        <v>1820</v>
      </c>
      <c r="D17" s="42" t="s">
        <v>1914</v>
      </c>
      <c r="E17" s="42" t="s">
        <v>46</v>
      </c>
      <c r="F17" s="42" t="s">
        <v>56</v>
      </c>
      <c r="G17" s="75" t="s">
        <v>507</v>
      </c>
      <c r="H17" s="42" t="s">
        <v>2299</v>
      </c>
      <c r="I17" s="42" t="s">
        <v>2262</v>
      </c>
      <c r="J17" s="8" t="s">
        <v>2069</v>
      </c>
      <c r="K17" s="8" t="str">
        <f>LEFT(TRIM(J17),7)&amp;TEXT(ROUND(RIGHT(TRIM(J17),LEN(TRIM(J17))-7),0),"00")</f>
        <v>129-08-54</v>
      </c>
      <c r="L17" s="8" t="s">
        <v>2164</v>
      </c>
      <c r="M17" s="8" t="str">
        <f>LEFT(TRIM(L17),6)&amp;TEXT(ROUND(RIGHT(TRIM(L17),LEN(TRIM(L17))-6),0),"00")</f>
        <v>36-44-00</v>
      </c>
      <c r="N17" s="45">
        <v>45658</v>
      </c>
      <c r="O17" s="42"/>
      <c r="P17" s="46">
        <v>282.08699999999999</v>
      </c>
      <c r="Q17" s="47">
        <v>289.51</v>
      </c>
      <c r="R17" s="85">
        <v>4</v>
      </c>
      <c r="S17" s="41" t="str">
        <f>IF(COUNTA(#REF!)=1,"유","무")</f>
        <v>유</v>
      </c>
      <c r="T17" s="86">
        <v>91.959000000000003</v>
      </c>
      <c r="U17" s="86">
        <v>91.718000000000004</v>
      </c>
      <c r="V17" s="42"/>
    </row>
    <row r="18" spans="1:22" ht="27" customHeight="1" x14ac:dyDescent="0.15">
      <c r="A18" s="145">
        <v>12</v>
      </c>
      <c r="B18" s="42">
        <v>2002634</v>
      </c>
      <c r="C18" s="42" t="s">
        <v>346</v>
      </c>
      <c r="D18" s="42" t="s">
        <v>1493</v>
      </c>
      <c r="E18" s="42" t="s">
        <v>46</v>
      </c>
      <c r="F18" s="42" t="s">
        <v>56</v>
      </c>
      <c r="G18" s="75" t="s">
        <v>37</v>
      </c>
      <c r="H18" s="42" t="s">
        <v>40</v>
      </c>
      <c r="I18" s="42" t="s">
        <v>230</v>
      </c>
      <c r="J18" s="43" t="s">
        <v>527</v>
      </c>
      <c r="K18" s="8" t="str">
        <f t="shared" si="2"/>
        <v>129-05-08</v>
      </c>
      <c r="L18" s="44" t="s">
        <v>679</v>
      </c>
      <c r="M18" s="8" t="str">
        <f t="shared" si="1"/>
        <v>36-35-50</v>
      </c>
      <c r="N18" s="45">
        <v>41640</v>
      </c>
      <c r="O18" s="42" t="s">
        <v>38</v>
      </c>
      <c r="P18" s="46">
        <v>181.10499999999999</v>
      </c>
      <c r="Q18" s="46">
        <v>190.553</v>
      </c>
      <c r="R18" s="85">
        <v>7</v>
      </c>
      <c r="S18" s="41" t="str">
        <f>IF(COUNTA(#REF!)=1,"유","무")</f>
        <v>유</v>
      </c>
      <c r="T18" s="86">
        <v>475.49</v>
      </c>
      <c r="U18" s="86">
        <v>63.53</v>
      </c>
      <c r="V18" s="42" t="s">
        <v>39</v>
      </c>
    </row>
    <row r="19" spans="1:22" ht="27" customHeight="1" x14ac:dyDescent="0.15">
      <c r="A19" s="145">
        <v>13</v>
      </c>
      <c r="B19" s="42">
        <v>2002640</v>
      </c>
      <c r="C19" s="42" t="s">
        <v>1817</v>
      </c>
      <c r="D19" s="42" t="s">
        <v>1911</v>
      </c>
      <c r="E19" s="42" t="s">
        <v>46</v>
      </c>
      <c r="F19" s="42" t="s">
        <v>1990</v>
      </c>
      <c r="G19" s="75" t="s">
        <v>507</v>
      </c>
      <c r="H19" s="42" t="s">
        <v>2299</v>
      </c>
      <c r="I19" s="42" t="s">
        <v>2259</v>
      </c>
      <c r="J19" s="8" t="s">
        <v>2066</v>
      </c>
      <c r="K19" s="8" t="str">
        <f>LEFT(TRIM(J19),7)&amp;TEXT(ROUND(RIGHT(TRIM(J19),LEN(TRIM(J19))-7),0),"00")</f>
        <v>129-07-06</v>
      </c>
      <c r="L19" s="8" t="s">
        <v>2161</v>
      </c>
      <c r="M19" s="8" t="str">
        <f>LEFT(TRIM(L19),6)&amp;TEXT(ROUND(RIGHT(TRIM(L19),LEN(TRIM(L19))-6),0),"00")</f>
        <v>36-33-40</v>
      </c>
      <c r="N19" s="45">
        <v>45658</v>
      </c>
      <c r="O19" s="42"/>
      <c r="P19" s="46">
        <v>181.70599999999999</v>
      </c>
      <c r="Q19" s="47">
        <v>190.25399999999999</v>
      </c>
      <c r="R19" s="85">
        <v>6</v>
      </c>
      <c r="S19" s="41" t="str">
        <f>IF(COUNTA(#REF!)=1,"유","무")</f>
        <v>유</v>
      </c>
      <c r="T19" s="86">
        <v>96.218000000000004</v>
      </c>
      <c r="U19" s="86">
        <v>4.1459999999999999</v>
      </c>
      <c r="V19" s="42"/>
    </row>
    <row r="20" spans="1:22" ht="27" customHeight="1" x14ac:dyDescent="0.15">
      <c r="A20" s="145">
        <v>14</v>
      </c>
      <c r="B20" s="42">
        <v>2002650</v>
      </c>
      <c r="C20" s="42" t="s">
        <v>1844</v>
      </c>
      <c r="D20" s="42" t="s">
        <v>1938</v>
      </c>
      <c r="E20" s="42" t="s">
        <v>46</v>
      </c>
      <c r="F20" s="42" t="s">
        <v>337</v>
      </c>
      <c r="G20" s="75" t="s">
        <v>507</v>
      </c>
      <c r="H20" s="42" t="s">
        <v>2301</v>
      </c>
      <c r="I20" s="42" t="s">
        <v>2285</v>
      </c>
      <c r="J20" s="8" t="s">
        <v>2093</v>
      </c>
      <c r="K20" s="8" t="str">
        <f>LEFT(TRIM(J20),7)&amp;TEXT(ROUND(RIGHT(TRIM(J20),LEN(TRIM(J20))-7),0),"00")</f>
        <v>129-05-41</v>
      </c>
      <c r="L20" s="8" t="s">
        <v>2188</v>
      </c>
      <c r="M20" s="8" t="str">
        <f>LEFT(TRIM(L20),6)&amp;TEXT(ROUND(RIGHT(TRIM(L20),LEN(TRIM(L20))-6),0),"00")</f>
        <v>36-22-22</v>
      </c>
      <c r="N20" s="45">
        <v>45658</v>
      </c>
      <c r="O20" s="42"/>
      <c r="P20" s="46">
        <v>216.52199999999999</v>
      </c>
      <c r="Q20" s="47">
        <v>225.91300000000001</v>
      </c>
      <c r="R20" s="85">
        <v>6</v>
      </c>
      <c r="S20" s="41" t="str">
        <f>IF(COUNTA(#REF!)=1,"유","무")</f>
        <v>유</v>
      </c>
      <c r="T20" s="86">
        <v>190.87899999999999</v>
      </c>
      <c r="U20" s="86">
        <v>23.173999999999999</v>
      </c>
      <c r="V20" s="42"/>
    </row>
    <row r="21" spans="1:22" ht="27" customHeight="1" x14ac:dyDescent="0.15">
      <c r="A21" s="145">
        <v>15</v>
      </c>
      <c r="B21" s="42">
        <v>2002685</v>
      </c>
      <c r="C21" s="42" t="s">
        <v>347</v>
      </c>
      <c r="D21" s="42" t="s">
        <v>1494</v>
      </c>
      <c r="E21" s="42" t="s">
        <v>46</v>
      </c>
      <c r="F21" s="42" t="s">
        <v>58</v>
      </c>
      <c r="G21" s="75" t="s">
        <v>37</v>
      </c>
      <c r="H21" s="42" t="s">
        <v>1743</v>
      </c>
      <c r="I21" s="42" t="s">
        <v>231</v>
      </c>
      <c r="J21" s="43" t="s">
        <v>528</v>
      </c>
      <c r="K21" s="8" t="str">
        <f t="shared" si="2"/>
        <v>128-54-39</v>
      </c>
      <c r="L21" s="44" t="s">
        <v>680</v>
      </c>
      <c r="M21" s="8" t="str">
        <f t="shared" si="1"/>
        <v>36-25-54</v>
      </c>
      <c r="N21" s="45">
        <v>32143</v>
      </c>
      <c r="O21" s="42" t="s">
        <v>38</v>
      </c>
      <c r="P21" s="46">
        <v>136.58600000000001</v>
      </c>
      <c r="Q21" s="46">
        <v>146.03299999999999</v>
      </c>
      <c r="R21" s="85">
        <v>7</v>
      </c>
      <c r="S21" s="41" t="str">
        <f>IF(COUNTA(#REF!)=1,"유","무")</f>
        <v>유</v>
      </c>
      <c r="T21" s="86">
        <v>418.79</v>
      </c>
      <c r="U21" s="86">
        <v>15.5</v>
      </c>
      <c r="V21" s="42" t="s">
        <v>39</v>
      </c>
    </row>
    <row r="22" spans="1:22" ht="27" customHeight="1" x14ac:dyDescent="0.15">
      <c r="A22" s="145">
        <v>16</v>
      </c>
      <c r="B22" s="42">
        <v>2002695</v>
      </c>
      <c r="C22" s="42" t="s">
        <v>348</v>
      </c>
      <c r="D22" s="42" t="s">
        <v>1495</v>
      </c>
      <c r="E22" s="42" t="s">
        <v>46</v>
      </c>
      <c r="F22" s="42" t="s">
        <v>58</v>
      </c>
      <c r="G22" s="75" t="s">
        <v>37</v>
      </c>
      <c r="H22" s="42" t="s">
        <v>180</v>
      </c>
      <c r="I22" s="42" t="s">
        <v>232</v>
      </c>
      <c r="J22" s="43" t="s">
        <v>529</v>
      </c>
      <c r="K22" s="8" t="str">
        <f t="shared" si="2"/>
        <v>128-57-33</v>
      </c>
      <c r="L22" s="44" t="s">
        <v>681</v>
      </c>
      <c r="M22" s="8" t="str">
        <f t="shared" si="1"/>
        <v>36-21-58</v>
      </c>
      <c r="N22" s="45">
        <v>41640</v>
      </c>
      <c r="O22" s="42" t="s">
        <v>38</v>
      </c>
      <c r="P22" s="46">
        <v>201.93899999999999</v>
      </c>
      <c r="Q22" s="46">
        <v>212.17699999999999</v>
      </c>
      <c r="R22" s="85">
        <v>8</v>
      </c>
      <c r="S22" s="41" t="str">
        <f>IF(COUNTA(#REF!)=1,"유","무")</f>
        <v>유</v>
      </c>
      <c r="T22" s="86">
        <v>332.19</v>
      </c>
      <c r="U22" s="86">
        <v>32.72</v>
      </c>
      <c r="V22" s="42" t="s">
        <v>39</v>
      </c>
    </row>
    <row r="23" spans="1:22" ht="27" customHeight="1" x14ac:dyDescent="0.15">
      <c r="A23" s="145">
        <v>17</v>
      </c>
      <c r="B23" s="42">
        <v>2003621</v>
      </c>
      <c r="C23" s="42" t="s">
        <v>1825</v>
      </c>
      <c r="D23" s="42" t="s">
        <v>1919</v>
      </c>
      <c r="E23" s="42" t="s">
        <v>46</v>
      </c>
      <c r="F23" s="42" t="s">
        <v>61</v>
      </c>
      <c r="G23" s="75" t="s">
        <v>507</v>
      </c>
      <c r="H23" s="42" t="s">
        <v>2302</v>
      </c>
      <c r="I23" s="42" t="s">
        <v>2267</v>
      </c>
      <c r="J23" s="8" t="s">
        <v>2074</v>
      </c>
      <c r="K23" s="8" t="str">
        <f>LEFT(TRIM(J23),7)&amp;TEXT(ROUND(RIGHT(TRIM(J23),LEN(TRIM(J23))-7),0),"00")</f>
        <v>128-40-58</v>
      </c>
      <c r="L23" s="8" t="s">
        <v>2169</v>
      </c>
      <c r="M23" s="8" t="str">
        <f>LEFT(TRIM(L23),6)&amp;TEXT(ROUND(RIGHT(TRIM(L23),LEN(TRIM(L23))-6),0),"00")</f>
        <v>36-25-31</v>
      </c>
      <c r="N23" s="45">
        <v>45658</v>
      </c>
      <c r="O23" s="42"/>
      <c r="P23" s="46">
        <v>127.96</v>
      </c>
      <c r="Q23" s="47">
        <v>136.38999999999999</v>
      </c>
      <c r="R23" s="85">
        <v>6</v>
      </c>
      <c r="S23" s="41" t="str">
        <f>IF(COUNTA(#REF!)=1,"유","무")</f>
        <v>유</v>
      </c>
      <c r="T23" s="86">
        <v>183.45599999999999</v>
      </c>
      <c r="U23" s="86">
        <v>29.963999999999999</v>
      </c>
      <c r="V23" s="42"/>
    </row>
    <row r="24" spans="1:22" ht="27" customHeight="1" x14ac:dyDescent="0.15">
      <c r="A24" s="145">
        <v>18</v>
      </c>
      <c r="B24" s="42">
        <v>2003625</v>
      </c>
      <c r="C24" s="42" t="s">
        <v>1821</v>
      </c>
      <c r="D24" s="42" t="s">
        <v>1915</v>
      </c>
      <c r="E24" s="42" t="s">
        <v>46</v>
      </c>
      <c r="F24" s="42" t="s">
        <v>1992</v>
      </c>
      <c r="G24" s="75" t="s">
        <v>37</v>
      </c>
      <c r="H24" s="42" t="s">
        <v>2300</v>
      </c>
      <c r="I24" s="42" t="s">
        <v>2263</v>
      </c>
      <c r="J24" s="8" t="s">
        <v>2070</v>
      </c>
      <c r="K24" s="8" t="str">
        <f>LEFT(TRIM(J24),7)&amp;TEXT(ROUND(RIGHT(TRIM(J24),LEN(TRIM(J24))-7),0),"00")</f>
        <v>128-40-22</v>
      </c>
      <c r="L24" s="8" t="s">
        <v>2165</v>
      </c>
      <c r="M24" s="8" t="str">
        <f>LEFT(TRIM(L24),6)&amp;TEXT(ROUND(RIGHT(TRIM(L24),LEN(TRIM(L24))-6),0),"00")</f>
        <v>36-34-39</v>
      </c>
      <c r="N24" s="45">
        <v>45658</v>
      </c>
      <c r="O24" s="42"/>
      <c r="P24" s="46">
        <v>83.039000000000001</v>
      </c>
      <c r="Q24" s="47">
        <v>90.192999999999998</v>
      </c>
      <c r="R24" s="85">
        <v>5</v>
      </c>
      <c r="S24" s="41" t="str">
        <f>IF(COUNTA(#REF!)=1,"유","무")</f>
        <v>유</v>
      </c>
      <c r="T24" s="86">
        <v>102.849</v>
      </c>
      <c r="U24" s="86">
        <v>1.5189999999999999</v>
      </c>
      <c r="V24" s="42"/>
    </row>
    <row r="25" spans="1:22" ht="27" customHeight="1" x14ac:dyDescent="0.15">
      <c r="A25" s="145">
        <v>19</v>
      </c>
      <c r="B25" s="42">
        <v>2003640</v>
      </c>
      <c r="C25" s="42" t="s">
        <v>349</v>
      </c>
      <c r="D25" s="22" t="s">
        <v>1496</v>
      </c>
      <c r="E25" s="22" t="s">
        <v>46</v>
      </c>
      <c r="F25" s="22" t="s">
        <v>61</v>
      </c>
      <c r="G25" s="75" t="s">
        <v>37</v>
      </c>
      <c r="H25" s="42" t="s">
        <v>40</v>
      </c>
      <c r="I25" s="42" t="s">
        <v>233</v>
      </c>
      <c r="J25" s="43" t="s">
        <v>530</v>
      </c>
      <c r="K25" s="8" t="str">
        <f t="shared" si="2"/>
        <v>128-39-36</v>
      </c>
      <c r="L25" s="44" t="s">
        <v>682</v>
      </c>
      <c r="M25" s="8" t="str">
        <f t="shared" si="1"/>
        <v>36-28-46</v>
      </c>
      <c r="N25" s="45">
        <v>38376</v>
      </c>
      <c r="O25" s="42" t="s">
        <v>38</v>
      </c>
      <c r="P25" s="46">
        <v>97.457999999999998</v>
      </c>
      <c r="Q25" s="46">
        <v>104.554</v>
      </c>
      <c r="R25" s="85">
        <v>7</v>
      </c>
      <c r="S25" s="41" t="str">
        <f>IF(COUNTA(#REF!)=1,"유","무")</f>
        <v>유</v>
      </c>
      <c r="T25" s="86">
        <v>280.45999999999998</v>
      </c>
      <c r="U25" s="86">
        <v>19.440000000000001</v>
      </c>
      <c r="V25" s="42" t="s">
        <v>39</v>
      </c>
    </row>
    <row r="26" spans="1:22" ht="27" customHeight="1" x14ac:dyDescent="0.15">
      <c r="A26" s="145">
        <v>20</v>
      </c>
      <c r="B26" s="42">
        <v>2003658</v>
      </c>
      <c r="C26" s="42" t="s">
        <v>1823</v>
      </c>
      <c r="D26" s="42" t="s">
        <v>1917</v>
      </c>
      <c r="E26" s="42" t="s">
        <v>46</v>
      </c>
      <c r="F26" s="42" t="s">
        <v>1994</v>
      </c>
      <c r="G26" s="75" t="s">
        <v>37</v>
      </c>
      <c r="H26" s="42" t="s">
        <v>2299</v>
      </c>
      <c r="I26" s="42" t="s">
        <v>2265</v>
      </c>
      <c r="J26" s="8" t="s">
        <v>2072</v>
      </c>
      <c r="K26" s="8" t="str">
        <f>LEFT(TRIM(J26),7)&amp;TEXT(ROUND(RIGHT(TRIM(J26),LEN(TRIM(J26))-7),0),"00")</f>
        <v>128-34-35</v>
      </c>
      <c r="L26" s="8" t="s">
        <v>2167</v>
      </c>
      <c r="M26" s="8" t="str">
        <f>LEFT(TRIM(L26),6)&amp;TEXT(ROUND(RIGHT(TRIM(L26),LEN(TRIM(L26))-6),0),"00")</f>
        <v>36-34-36</v>
      </c>
      <c r="N26" s="45">
        <v>45658</v>
      </c>
      <c r="O26" s="42"/>
      <c r="P26" s="46">
        <v>75.42</v>
      </c>
      <c r="Q26" s="47">
        <v>83.254999999999995</v>
      </c>
      <c r="R26" s="85">
        <v>7</v>
      </c>
      <c r="S26" s="41" t="str">
        <f>IF(COUNTA(#REF!)=1,"유","무")</f>
        <v>유</v>
      </c>
      <c r="T26" s="86">
        <v>36.631999999999998</v>
      </c>
      <c r="U26" s="86">
        <v>1.84</v>
      </c>
      <c r="V26" s="42"/>
    </row>
    <row r="27" spans="1:22" ht="27" customHeight="1" x14ac:dyDescent="0.15">
      <c r="A27" s="145">
        <v>21</v>
      </c>
      <c r="B27" s="42">
        <v>2003670</v>
      </c>
      <c r="C27" s="42" t="s">
        <v>350</v>
      </c>
      <c r="D27" s="42" t="s">
        <v>1497</v>
      </c>
      <c r="E27" s="42" t="s">
        <v>46</v>
      </c>
      <c r="F27" s="42" t="s">
        <v>46</v>
      </c>
      <c r="G27" s="75" t="s">
        <v>37</v>
      </c>
      <c r="H27" s="42" t="s">
        <v>2313</v>
      </c>
      <c r="I27" s="42" t="s">
        <v>234</v>
      </c>
      <c r="J27" s="43" t="s">
        <v>531</v>
      </c>
      <c r="K27" s="8" t="str">
        <f t="shared" si="2"/>
        <v>128-27-47</v>
      </c>
      <c r="L27" s="44" t="s">
        <v>683</v>
      </c>
      <c r="M27" s="8" t="str">
        <f t="shared" si="1"/>
        <v>36-32-22</v>
      </c>
      <c r="N27" s="45">
        <v>38376</v>
      </c>
      <c r="O27" s="42" t="s">
        <v>38</v>
      </c>
      <c r="P27" s="46">
        <v>58.823</v>
      </c>
      <c r="Q27" s="46">
        <v>71.561000000000007</v>
      </c>
      <c r="R27" s="85">
        <v>12</v>
      </c>
      <c r="S27" s="41" t="str">
        <f>IF(COUNTA(#REF!)=1,"유","무")</f>
        <v>유</v>
      </c>
      <c r="T27" s="86">
        <v>4341.57</v>
      </c>
      <c r="U27" s="86">
        <v>293.14</v>
      </c>
      <c r="V27" s="42" t="s">
        <v>43</v>
      </c>
    </row>
    <row r="28" spans="1:22" ht="27" customHeight="1" x14ac:dyDescent="0.15">
      <c r="A28" s="145">
        <v>22</v>
      </c>
      <c r="B28" s="42">
        <v>2003674</v>
      </c>
      <c r="C28" s="42" t="s">
        <v>1824</v>
      </c>
      <c r="D28" s="42" t="s">
        <v>1918</v>
      </c>
      <c r="E28" s="42" t="s">
        <v>46</v>
      </c>
      <c r="F28" s="42" t="s">
        <v>1995</v>
      </c>
      <c r="G28" s="75" t="s">
        <v>37</v>
      </c>
      <c r="H28" s="42" t="s">
        <v>2299</v>
      </c>
      <c r="I28" s="42" t="s">
        <v>2266</v>
      </c>
      <c r="J28" s="8" t="s">
        <v>2073</v>
      </c>
      <c r="K28" s="8" t="str">
        <f>LEFT(TRIM(J28),7)&amp;TEXT(ROUND(RIGHT(TRIM(J28),LEN(TRIM(J28))-7),0),"00")</f>
        <v>128-26-55</v>
      </c>
      <c r="L28" s="8" t="s">
        <v>2168</v>
      </c>
      <c r="M28" s="8" t="str">
        <f>LEFT(TRIM(L28),6)&amp;TEXT(ROUND(RIGHT(TRIM(L28),LEN(TRIM(L28))-6),0),"00")</f>
        <v>36-31-17</v>
      </c>
      <c r="N28" s="45">
        <v>45658</v>
      </c>
      <c r="O28" s="42"/>
      <c r="P28" s="46">
        <v>56.988</v>
      </c>
      <c r="Q28" s="47">
        <v>67.644999999999996</v>
      </c>
      <c r="R28" s="85">
        <v>8</v>
      </c>
      <c r="S28" s="41" t="str">
        <f>IF(COUNTA(#REF!)=1,"유","무")</f>
        <v>유</v>
      </c>
      <c r="T28" s="86">
        <v>90.52</v>
      </c>
      <c r="U28" s="86">
        <v>1.355</v>
      </c>
      <c r="V28" s="42"/>
    </row>
    <row r="29" spans="1:22" ht="27" customHeight="1" x14ac:dyDescent="0.15">
      <c r="A29" s="145">
        <v>23</v>
      </c>
      <c r="B29" s="42">
        <v>2003690</v>
      </c>
      <c r="C29" s="42" t="s">
        <v>351</v>
      </c>
      <c r="D29" s="42" t="s">
        <v>1498</v>
      </c>
      <c r="E29" s="42" t="s">
        <v>46</v>
      </c>
      <c r="F29" s="42" t="s">
        <v>46</v>
      </c>
      <c r="G29" s="75" t="s">
        <v>37</v>
      </c>
      <c r="H29" s="42" t="s">
        <v>98</v>
      </c>
      <c r="I29" s="42" t="s">
        <v>235</v>
      </c>
      <c r="J29" s="43" t="s">
        <v>532</v>
      </c>
      <c r="K29" s="8" t="str">
        <f t="shared" si="2"/>
        <v>128-21-52</v>
      </c>
      <c r="L29" s="44" t="s">
        <v>684</v>
      </c>
      <c r="M29" s="8" t="str">
        <f t="shared" si="1"/>
        <v>36-31-47</v>
      </c>
      <c r="N29" s="45">
        <v>32143</v>
      </c>
      <c r="O29" s="42" t="s">
        <v>38</v>
      </c>
      <c r="P29" s="46">
        <v>51.320999999999991</v>
      </c>
      <c r="Q29" s="46">
        <v>64.876999999999995</v>
      </c>
      <c r="R29" s="85">
        <v>9</v>
      </c>
      <c r="S29" s="41" t="str">
        <f>IF(COUNTA(#REF!)=1,"유","무")</f>
        <v>유</v>
      </c>
      <c r="T29" s="86">
        <v>4561.59</v>
      </c>
      <c r="U29" s="86">
        <v>281.10000000000002</v>
      </c>
      <c r="V29" s="42" t="s">
        <v>39</v>
      </c>
    </row>
    <row r="30" spans="1:22" ht="27" customHeight="1" x14ac:dyDescent="0.15">
      <c r="A30" s="145">
        <v>24</v>
      </c>
      <c r="B30" s="42">
        <v>2004604</v>
      </c>
      <c r="C30" s="42" t="s">
        <v>1814</v>
      </c>
      <c r="D30" s="42" t="s">
        <v>1909</v>
      </c>
      <c r="E30" s="42" t="s">
        <v>46</v>
      </c>
      <c r="F30" s="42" t="s">
        <v>65</v>
      </c>
      <c r="G30" s="75" t="s">
        <v>507</v>
      </c>
      <c r="H30" s="42" t="s">
        <v>2302</v>
      </c>
      <c r="I30" s="42" t="s">
        <v>2255</v>
      </c>
      <c r="J30" s="8" t="s">
        <v>2062</v>
      </c>
      <c r="K30" s="8" t="str">
        <f>LEFT(TRIM(J30),7)&amp;TEXT(ROUND(RIGHT(TRIM(J30),LEN(TRIM(J30))-7),0),"00")</f>
        <v>128-44-03</v>
      </c>
      <c r="L30" s="8" t="s">
        <v>2157</v>
      </c>
      <c r="M30" s="8" t="str">
        <f>LEFT(TRIM(L30),6)&amp;TEXT(ROUND(RIGHT(TRIM(L30),LEN(TRIM(L30))-6),0),"00")</f>
        <v>36-54-00</v>
      </c>
      <c r="N30" s="45">
        <v>45658</v>
      </c>
      <c r="O30" s="42"/>
      <c r="P30" s="46">
        <v>190.702</v>
      </c>
      <c r="Q30" s="47">
        <v>196.02500000000001</v>
      </c>
      <c r="R30" s="85">
        <v>5</v>
      </c>
      <c r="S30" s="41" t="str">
        <f>IF(COUNTA(#REF!)=1,"유","무")</f>
        <v>유</v>
      </c>
      <c r="T30" s="86">
        <v>82.084999999999994</v>
      </c>
      <c r="U30" s="86">
        <v>89.519000000000005</v>
      </c>
      <c r="V30" s="42"/>
    </row>
    <row r="31" spans="1:22" ht="27" customHeight="1" x14ac:dyDescent="0.15">
      <c r="A31" s="145">
        <v>25</v>
      </c>
      <c r="B31" s="42">
        <v>2004605</v>
      </c>
      <c r="C31" s="42" t="s">
        <v>352</v>
      </c>
      <c r="D31" s="42" t="s">
        <v>1492</v>
      </c>
      <c r="E31" s="42" t="s">
        <v>46</v>
      </c>
      <c r="F31" s="42" t="s">
        <v>65</v>
      </c>
      <c r="G31" s="75" t="s">
        <v>37</v>
      </c>
      <c r="H31" s="42" t="s">
        <v>1670</v>
      </c>
      <c r="I31" s="42" t="s">
        <v>236</v>
      </c>
      <c r="J31" s="43" t="s">
        <v>533</v>
      </c>
      <c r="K31" s="8" t="str">
        <f>LEFT(TRIM(J31),7)&amp;TEXT(ROUND(RIGHT(TRIM(J31),LEN(TRIM(J31))-7),0),"00")</f>
        <v>128-43-55</v>
      </c>
      <c r="L31" s="44" t="s">
        <v>685</v>
      </c>
      <c r="M31" s="8" t="str">
        <f>LEFT(TRIM(L31),6)&amp;TEXT(ROUND(RIGHT(TRIM(L31),LEN(TRIM(L31))-6),0),"00")</f>
        <v>36-53-15</v>
      </c>
      <c r="N31" s="45">
        <v>39814</v>
      </c>
      <c r="O31" s="42" t="s">
        <v>38</v>
      </c>
      <c r="P31" s="46">
        <v>184.10400000000001</v>
      </c>
      <c r="Q31" s="46">
        <v>188.87799999999999</v>
      </c>
      <c r="R31" s="85">
        <v>7</v>
      </c>
      <c r="S31" s="41" t="str">
        <f>IF(COUNTA(#REF!)=1,"유","무")</f>
        <v>유</v>
      </c>
      <c r="T31" s="86">
        <v>156.77000000000001</v>
      </c>
      <c r="U31" s="86">
        <v>87.6</v>
      </c>
      <c r="V31" s="42" t="s">
        <v>43</v>
      </c>
    </row>
    <row r="32" spans="1:22" s="23" customFormat="1" ht="27" customHeight="1" x14ac:dyDescent="0.15">
      <c r="A32" s="145">
        <v>26</v>
      </c>
      <c r="B32" s="42">
        <v>2004615</v>
      </c>
      <c r="C32" s="41" t="s">
        <v>1366</v>
      </c>
      <c r="D32" s="41" t="s">
        <v>1499</v>
      </c>
      <c r="E32" s="42" t="s">
        <v>46</v>
      </c>
      <c r="F32" s="41" t="s">
        <v>1400</v>
      </c>
      <c r="G32" s="75" t="s">
        <v>37</v>
      </c>
      <c r="H32" s="42" t="s">
        <v>87</v>
      </c>
      <c r="I32" s="42" t="s">
        <v>1375</v>
      </c>
      <c r="J32" s="8" t="s">
        <v>1381</v>
      </c>
      <c r="K32" s="8" t="str">
        <f>LEFT(TRIM(J32),7)&amp;TEXT(ROUND(RIGHT(TRIM(J32),LEN(TRIM(J32))-7),0),"00")</f>
        <v>128-33-04</v>
      </c>
      <c r="L32" s="8" t="s">
        <v>1389</v>
      </c>
      <c r="M32" s="8" t="str">
        <f>LEFT(TRIM(L32),6)&amp;TEXT(ROUND(RIGHT(TRIM(L32),LEN(TRIM(L32))-6),0),"00")</f>
        <v>36-51-14</v>
      </c>
      <c r="N32" s="45">
        <v>44935</v>
      </c>
      <c r="O32" s="42" t="s">
        <v>1455</v>
      </c>
      <c r="P32" s="48">
        <v>168.97900000000001</v>
      </c>
      <c r="Q32" s="49">
        <v>176.749</v>
      </c>
      <c r="R32" s="50">
        <v>8</v>
      </c>
      <c r="S32" s="41" t="str">
        <f>IF(COUNTA(#REF!)=1,"유","무")</f>
        <v>유</v>
      </c>
      <c r="T32" s="51">
        <v>106.468</v>
      </c>
      <c r="U32" s="51">
        <v>21.117999999999999</v>
      </c>
      <c r="V32" s="41" t="s">
        <v>1460</v>
      </c>
    </row>
    <row r="33" spans="1:22" s="23" customFormat="1" ht="27" customHeight="1" x14ac:dyDescent="0.15">
      <c r="A33" s="145">
        <v>27</v>
      </c>
      <c r="B33" s="146">
        <v>2004624</v>
      </c>
      <c r="C33" s="41" t="s">
        <v>1372</v>
      </c>
      <c r="D33" s="41" t="s">
        <v>1500</v>
      </c>
      <c r="E33" s="42" t="s">
        <v>46</v>
      </c>
      <c r="F33" s="41" t="s">
        <v>1407</v>
      </c>
      <c r="G33" s="75" t="s">
        <v>37</v>
      </c>
      <c r="H33" s="42" t="s">
        <v>87</v>
      </c>
      <c r="I33" s="42" t="s">
        <v>1452</v>
      </c>
      <c r="J33" s="8" t="s">
        <v>1386</v>
      </c>
      <c r="K33" s="8" t="str">
        <f>LEFT(TRIM(J33),7)&amp;TEXT(ROUND(RIGHT(TRIM(J33),LEN(TRIM(J33))-7),0),"00")</f>
        <v>128-36-23</v>
      </c>
      <c r="L33" s="8" t="s">
        <v>1394</v>
      </c>
      <c r="M33" s="8" t="str">
        <f>LEFT(TRIM(L33),6)&amp;TEXT(ROUND(RIGHT(TRIM(L33),LEN(TRIM(L33))-6),0),"00")</f>
        <v>36-51-34</v>
      </c>
      <c r="N33" s="45">
        <v>44935</v>
      </c>
      <c r="O33" s="42" t="s">
        <v>1455</v>
      </c>
      <c r="P33" s="48">
        <v>148.76599999999999</v>
      </c>
      <c r="Q33" s="49">
        <v>156.74100000000001</v>
      </c>
      <c r="R33" s="50">
        <v>8</v>
      </c>
      <c r="S33" s="41" t="str">
        <f>IF(COUNTA(#REF!)=1,"유","무")</f>
        <v>유</v>
      </c>
      <c r="T33" s="51">
        <v>134.47999999999999</v>
      </c>
      <c r="U33" s="51">
        <v>2.0459999999999998</v>
      </c>
      <c r="V33" s="41" t="s">
        <v>1460</v>
      </c>
    </row>
    <row r="34" spans="1:22" s="23" customFormat="1" ht="27" customHeight="1" x14ac:dyDescent="0.15">
      <c r="A34" s="145">
        <v>28</v>
      </c>
      <c r="B34" s="42">
        <v>2004628</v>
      </c>
      <c r="C34" s="42" t="s">
        <v>1694</v>
      </c>
      <c r="D34" s="42" t="s">
        <v>1695</v>
      </c>
      <c r="E34" s="42" t="s">
        <v>46</v>
      </c>
      <c r="F34" s="42" t="s">
        <v>1696</v>
      </c>
      <c r="G34" s="75" t="s">
        <v>37</v>
      </c>
      <c r="H34" s="42" t="s">
        <v>50</v>
      </c>
      <c r="I34" s="42" t="s">
        <v>1732</v>
      </c>
      <c r="J34" s="8" t="s">
        <v>1733</v>
      </c>
      <c r="K34" s="8" t="s">
        <v>1697</v>
      </c>
      <c r="L34" s="8" t="s">
        <v>1698</v>
      </c>
      <c r="M34" s="8" t="s">
        <v>1699</v>
      </c>
      <c r="N34" s="45">
        <v>45306</v>
      </c>
      <c r="O34" s="42" t="s">
        <v>38</v>
      </c>
      <c r="P34" s="46">
        <v>162.45400000000001</v>
      </c>
      <c r="Q34" s="47">
        <v>170.708</v>
      </c>
      <c r="R34" s="85">
        <v>9</v>
      </c>
      <c r="S34" s="41" t="str">
        <f>IF(COUNTA(#REF!)=1,"유","무")</f>
        <v>유</v>
      </c>
      <c r="T34" s="86">
        <v>107.19199999999999</v>
      </c>
      <c r="U34" s="86">
        <v>4.1710000000000003</v>
      </c>
      <c r="V34" s="42" t="s">
        <v>1299</v>
      </c>
    </row>
    <row r="35" spans="1:22" s="23" customFormat="1" ht="27" customHeight="1" x14ac:dyDescent="0.15">
      <c r="A35" s="145">
        <v>29</v>
      </c>
      <c r="B35" s="42">
        <v>2004629</v>
      </c>
      <c r="C35" s="41" t="s">
        <v>1364</v>
      </c>
      <c r="D35" s="41" t="s">
        <v>1501</v>
      </c>
      <c r="E35" s="42" t="s">
        <v>46</v>
      </c>
      <c r="F35" s="41" t="s">
        <v>1400</v>
      </c>
      <c r="G35" s="75" t="s">
        <v>37</v>
      </c>
      <c r="H35" s="42" t="s">
        <v>1671</v>
      </c>
      <c r="I35" s="42" t="s">
        <v>1373</v>
      </c>
      <c r="J35" s="8" t="s">
        <v>1380</v>
      </c>
      <c r="K35" s="8" t="str">
        <f>LEFT(TRIM(J35),7)&amp;TEXT(ROUND(RIGHT(TRIM(J35),LEN(TRIM(J35))-7),0),"00")</f>
        <v>128-36-50</v>
      </c>
      <c r="L35" s="8" t="s">
        <v>1387</v>
      </c>
      <c r="M35" s="8" t="str">
        <f>LEFT(TRIM(L35),6)&amp;TEXT(ROUND(RIGHT(TRIM(L35),LEN(TRIM(L35))-6),0),"00")</f>
        <v>36-49-49</v>
      </c>
      <c r="N35" s="45">
        <v>44935</v>
      </c>
      <c r="O35" s="42" t="s">
        <v>1455</v>
      </c>
      <c r="P35" s="48">
        <v>140.31399999999999</v>
      </c>
      <c r="Q35" s="49">
        <v>147.60599999999999</v>
      </c>
      <c r="R35" s="50">
        <v>6</v>
      </c>
      <c r="S35" s="41" t="str">
        <f>IF(COUNTA(#REF!)=1,"유","무")</f>
        <v>유</v>
      </c>
      <c r="T35" s="51">
        <v>298.90699999999998</v>
      </c>
      <c r="U35" s="51">
        <v>13.442</v>
      </c>
      <c r="V35" s="41" t="s">
        <v>1460</v>
      </c>
    </row>
    <row r="36" spans="1:22" ht="27" customHeight="1" x14ac:dyDescent="0.15">
      <c r="A36" s="145">
        <v>30</v>
      </c>
      <c r="B36" s="42">
        <v>2004635</v>
      </c>
      <c r="C36" s="42" t="s">
        <v>353</v>
      </c>
      <c r="D36" s="42" t="s">
        <v>1502</v>
      </c>
      <c r="E36" s="42" t="s">
        <v>46</v>
      </c>
      <c r="F36" s="42" t="s">
        <v>67</v>
      </c>
      <c r="G36" s="75" t="s">
        <v>37</v>
      </c>
      <c r="H36" s="42" t="s">
        <v>98</v>
      </c>
      <c r="I36" s="42" t="s">
        <v>237</v>
      </c>
      <c r="J36" s="43" t="s">
        <v>534</v>
      </c>
      <c r="K36" s="8" t="str">
        <f t="shared" si="2"/>
        <v>128-37-16</v>
      </c>
      <c r="L36" s="44" t="s">
        <v>686</v>
      </c>
      <c r="M36" s="8" t="str">
        <f t="shared" si="1"/>
        <v>36-45-47</v>
      </c>
      <c r="N36" s="45">
        <v>39108</v>
      </c>
      <c r="O36" s="42" t="s">
        <v>38</v>
      </c>
      <c r="P36" s="46">
        <v>116.71</v>
      </c>
      <c r="Q36" s="46">
        <v>129.262</v>
      </c>
      <c r="R36" s="85">
        <v>11</v>
      </c>
      <c r="S36" s="41" t="str">
        <f>IF(COUNTA(#REF!)=1,"유","무")</f>
        <v>유</v>
      </c>
      <c r="T36" s="86">
        <v>347.26</v>
      </c>
      <c r="U36" s="86">
        <v>3.92</v>
      </c>
      <c r="V36" s="42" t="s">
        <v>43</v>
      </c>
    </row>
    <row r="37" spans="1:22" ht="27" customHeight="1" x14ac:dyDescent="0.15">
      <c r="A37" s="145">
        <v>31</v>
      </c>
      <c r="B37" s="42">
        <v>2004640</v>
      </c>
      <c r="C37" s="42" t="s">
        <v>354</v>
      </c>
      <c r="D37" s="42" t="s">
        <v>1503</v>
      </c>
      <c r="E37" s="42" t="s">
        <v>46</v>
      </c>
      <c r="F37" s="42" t="s">
        <v>65</v>
      </c>
      <c r="G37" s="75" t="s">
        <v>37</v>
      </c>
      <c r="H37" s="42" t="s">
        <v>928</v>
      </c>
      <c r="I37" s="42" t="s">
        <v>238</v>
      </c>
      <c r="J37" s="43" t="s">
        <v>535</v>
      </c>
      <c r="K37" s="8" t="str">
        <f t="shared" si="2"/>
        <v>128-36-03</v>
      </c>
      <c r="L37" s="44" t="s">
        <v>687</v>
      </c>
      <c r="M37" s="8" t="str">
        <f t="shared" si="1"/>
        <v>36-42-54</v>
      </c>
      <c r="N37" s="45">
        <v>39448</v>
      </c>
      <c r="O37" s="42" t="s">
        <v>38</v>
      </c>
      <c r="P37" s="46">
        <v>100.85599999999999</v>
      </c>
      <c r="Q37" s="46">
        <v>110.583</v>
      </c>
      <c r="R37" s="85">
        <v>9</v>
      </c>
      <c r="S37" s="41" t="str">
        <f>IF(COUNTA(#REF!)=1,"유","무")</f>
        <v>유</v>
      </c>
      <c r="T37" s="86">
        <v>914.56</v>
      </c>
      <c r="U37" s="86">
        <v>45.98</v>
      </c>
      <c r="V37" s="42" t="s">
        <v>43</v>
      </c>
    </row>
    <row r="38" spans="1:22" ht="27" customHeight="1" x14ac:dyDescent="0.15">
      <c r="A38" s="145">
        <v>32</v>
      </c>
      <c r="B38" s="42">
        <v>2004646</v>
      </c>
      <c r="C38" s="42" t="s">
        <v>1839</v>
      </c>
      <c r="D38" s="42" t="s">
        <v>1933</v>
      </c>
      <c r="E38" s="42" t="s">
        <v>46</v>
      </c>
      <c r="F38" s="42" t="s">
        <v>2000</v>
      </c>
      <c r="G38" s="75" t="s">
        <v>37</v>
      </c>
      <c r="H38" s="42" t="s">
        <v>2299</v>
      </c>
      <c r="I38" s="42" t="s">
        <v>2280</v>
      </c>
      <c r="J38" s="8" t="s">
        <v>2088</v>
      </c>
      <c r="K38" s="8" t="str">
        <f>LEFT(TRIM(J38),7)&amp;TEXT(ROUND(RIGHT(TRIM(J38),LEN(TRIM(J38))-7),0),"00")</f>
        <v>128-33-47</v>
      </c>
      <c r="L38" s="8" t="s">
        <v>2183</v>
      </c>
      <c r="M38" s="8" t="str">
        <f>LEFT(TRIM(L38),6)&amp;TEXT(ROUND(RIGHT(TRIM(L38),LEN(TRIM(L38))-6),0),"00")</f>
        <v>36-43-08</v>
      </c>
      <c r="N38" s="45">
        <v>45658</v>
      </c>
      <c r="O38" s="42"/>
      <c r="P38" s="46">
        <v>96.771000000000001</v>
      </c>
      <c r="Q38" s="47">
        <v>102.175</v>
      </c>
      <c r="R38" s="85">
        <v>5</v>
      </c>
      <c r="S38" s="41" t="str">
        <f>IF(COUNTA(#REF!)=1,"유","무")</f>
        <v>유</v>
      </c>
      <c r="T38" s="86">
        <v>76.766000000000005</v>
      </c>
      <c r="U38" s="86">
        <v>2.5289999999999999</v>
      </c>
      <c r="V38" s="42"/>
    </row>
    <row r="39" spans="1:22" ht="27" customHeight="1" x14ac:dyDescent="0.15">
      <c r="A39" s="145">
        <v>33</v>
      </c>
      <c r="B39" s="42">
        <v>2004650</v>
      </c>
      <c r="C39" s="42" t="s">
        <v>355</v>
      </c>
      <c r="D39" s="42" t="s">
        <v>1504</v>
      </c>
      <c r="E39" s="42" t="s">
        <v>46</v>
      </c>
      <c r="F39" s="42" t="s">
        <v>65</v>
      </c>
      <c r="G39" s="75" t="s">
        <v>37</v>
      </c>
      <c r="H39" s="42" t="s">
        <v>98</v>
      </c>
      <c r="I39" s="42" t="s">
        <v>239</v>
      </c>
      <c r="J39" s="43" t="s">
        <v>536</v>
      </c>
      <c r="K39" s="8" t="str">
        <f t="shared" si="2"/>
        <v>128-31-05</v>
      </c>
      <c r="L39" s="44" t="s">
        <v>688</v>
      </c>
      <c r="M39" s="8" t="str">
        <f t="shared" si="1"/>
        <v>36-40-10</v>
      </c>
      <c r="N39" s="45">
        <v>39448</v>
      </c>
      <c r="O39" s="42" t="s">
        <v>38</v>
      </c>
      <c r="P39" s="46">
        <v>85.712000000000003</v>
      </c>
      <c r="Q39" s="46">
        <v>97.159000000000006</v>
      </c>
      <c r="R39" s="85">
        <v>15</v>
      </c>
      <c r="S39" s="41" t="str">
        <f>IF(COUNTA(#REF!)=1,"유","무")</f>
        <v>유</v>
      </c>
      <c r="T39" s="86">
        <v>1114.46</v>
      </c>
      <c r="U39" s="86">
        <v>34.33</v>
      </c>
      <c r="V39" s="42" t="s">
        <v>39</v>
      </c>
    </row>
    <row r="40" spans="1:22" ht="27" customHeight="1" x14ac:dyDescent="0.15">
      <c r="A40" s="145">
        <v>34</v>
      </c>
      <c r="B40" s="42">
        <v>2004655</v>
      </c>
      <c r="C40" s="42" t="s">
        <v>356</v>
      </c>
      <c r="D40" s="42" t="s">
        <v>1505</v>
      </c>
      <c r="E40" s="42" t="s">
        <v>46</v>
      </c>
      <c r="F40" s="42" t="s">
        <v>65</v>
      </c>
      <c r="G40" s="75" t="s">
        <v>37</v>
      </c>
      <c r="H40" s="42" t="s">
        <v>98</v>
      </c>
      <c r="I40" s="42" t="s">
        <v>240</v>
      </c>
      <c r="J40" s="43" t="s">
        <v>537</v>
      </c>
      <c r="K40" s="8" t="str">
        <f t="shared" si="2"/>
        <v>128-29-15</v>
      </c>
      <c r="L40" s="44" t="s">
        <v>689</v>
      </c>
      <c r="M40" s="8" t="str">
        <f t="shared" si="1"/>
        <v>36-37-09</v>
      </c>
      <c r="N40" s="45">
        <v>24838</v>
      </c>
      <c r="O40" s="42" t="s">
        <v>38</v>
      </c>
      <c r="P40" s="46">
        <v>75.158999999999992</v>
      </c>
      <c r="Q40" s="46">
        <v>87.024000000000001</v>
      </c>
      <c r="R40" s="85">
        <v>6</v>
      </c>
      <c r="S40" s="41" t="str">
        <f>IF(COUNTA(#REF!)=1,"유","무")</f>
        <v>유</v>
      </c>
      <c r="T40" s="86">
        <v>1158.8</v>
      </c>
      <c r="U40" s="86">
        <v>26.62</v>
      </c>
      <c r="V40" s="42" t="s">
        <v>39</v>
      </c>
    </row>
    <row r="41" spans="1:22" ht="27" customHeight="1" x14ac:dyDescent="0.15">
      <c r="A41" s="145">
        <v>35</v>
      </c>
      <c r="B41" s="42">
        <v>2004660</v>
      </c>
      <c r="C41" s="42" t="s">
        <v>1840</v>
      </c>
      <c r="D41" s="42" t="s">
        <v>1934</v>
      </c>
      <c r="E41" s="42" t="s">
        <v>46</v>
      </c>
      <c r="F41" s="42" t="s">
        <v>2001</v>
      </c>
      <c r="G41" s="75" t="s">
        <v>507</v>
      </c>
      <c r="H41" s="42" t="s">
        <v>2301</v>
      </c>
      <c r="I41" s="42" t="s">
        <v>2281</v>
      </c>
      <c r="J41" s="8" t="s">
        <v>2089</v>
      </c>
      <c r="K41" s="8" t="str">
        <f>LEFT(TRIM(J41),7)&amp;TEXT(ROUND(RIGHT(TRIM(J41),LEN(TRIM(J41))-7),0),"00")</f>
        <v>128-26-56</v>
      </c>
      <c r="L41" s="8" t="s">
        <v>2184</v>
      </c>
      <c r="M41" s="8" t="str">
        <f>LEFT(TRIM(L41),6)&amp;TEXT(ROUND(RIGHT(TRIM(L41),LEN(TRIM(L41))-6),0),"00")</f>
        <v>36-40-44</v>
      </c>
      <c r="N41" s="45">
        <v>45658</v>
      </c>
      <c r="O41" s="42"/>
      <c r="P41" s="46">
        <v>101.149</v>
      </c>
      <c r="Q41" s="47">
        <v>109.39400000000001</v>
      </c>
      <c r="R41" s="85">
        <v>6</v>
      </c>
      <c r="S41" s="41" t="str">
        <f>IF(COUNTA(#REF!)=1,"유","무")</f>
        <v>유</v>
      </c>
      <c r="T41" s="86">
        <v>60.21</v>
      </c>
      <c r="U41" s="86">
        <v>2.8290000000000002</v>
      </c>
      <c r="V41" s="42"/>
    </row>
    <row r="42" spans="1:22" ht="27" customHeight="1" x14ac:dyDescent="0.15">
      <c r="A42" s="145">
        <v>36</v>
      </c>
      <c r="B42" s="42">
        <v>2004663</v>
      </c>
      <c r="C42" s="42" t="s">
        <v>1841</v>
      </c>
      <c r="D42" s="42" t="s">
        <v>1935</v>
      </c>
      <c r="E42" s="42" t="s">
        <v>46</v>
      </c>
      <c r="F42" s="42" t="s">
        <v>72</v>
      </c>
      <c r="G42" s="75" t="s">
        <v>507</v>
      </c>
      <c r="H42" s="42" t="s">
        <v>2300</v>
      </c>
      <c r="I42" s="42" t="s">
        <v>2282</v>
      </c>
      <c r="J42" s="8" t="s">
        <v>2090</v>
      </c>
      <c r="K42" s="8" t="str">
        <f>LEFT(TRIM(J42),7)&amp;TEXT(ROUND(RIGHT(TRIM(J42),LEN(TRIM(J42))-7),0),"00")</f>
        <v>128-26-39</v>
      </c>
      <c r="L42" s="8" t="s">
        <v>2185</v>
      </c>
      <c r="M42" s="8" t="str">
        <f>LEFT(TRIM(L42),6)&amp;TEXT(ROUND(RIGHT(TRIM(L42),LEN(TRIM(L42))-6),0),"00")</f>
        <v>36-42-09</v>
      </c>
      <c r="N42" s="45">
        <v>45658</v>
      </c>
      <c r="O42" s="42"/>
      <c r="P42" s="46">
        <v>107.592</v>
      </c>
      <c r="Q42" s="47">
        <v>113.541</v>
      </c>
      <c r="R42" s="85">
        <v>5</v>
      </c>
      <c r="S42" s="41" t="str">
        <f>IF(COUNTA(#REF!)=1,"유","무")</f>
        <v>유</v>
      </c>
      <c r="T42" s="86">
        <v>103.411</v>
      </c>
      <c r="U42" s="86">
        <v>15.161</v>
      </c>
      <c r="V42" s="42"/>
    </row>
    <row r="43" spans="1:22" ht="27" customHeight="1" x14ac:dyDescent="0.15">
      <c r="A43" s="145">
        <v>37</v>
      </c>
      <c r="B43" s="42">
        <v>2004668</v>
      </c>
      <c r="C43" s="42" t="s">
        <v>841</v>
      </c>
      <c r="D43" s="42" t="s">
        <v>1506</v>
      </c>
      <c r="E43" s="42" t="s">
        <v>46</v>
      </c>
      <c r="F43" s="42" t="s">
        <v>72</v>
      </c>
      <c r="G43" s="75" t="s">
        <v>37</v>
      </c>
      <c r="H43" s="42" t="s">
        <v>82</v>
      </c>
      <c r="I43" s="42" t="s">
        <v>842</v>
      </c>
      <c r="J43" s="43" t="s">
        <v>538</v>
      </c>
      <c r="K43" s="8" t="str">
        <f t="shared" si="2"/>
        <v>128-26-55</v>
      </c>
      <c r="L43" s="44" t="s">
        <v>690</v>
      </c>
      <c r="M43" s="8" t="str">
        <f t="shared" si="1"/>
        <v>36-39-01</v>
      </c>
      <c r="N43" s="45">
        <v>22828</v>
      </c>
      <c r="O43" s="42" t="s">
        <v>38</v>
      </c>
      <c r="P43" s="46">
        <v>79.006</v>
      </c>
      <c r="Q43" s="46">
        <v>86.930999999999997</v>
      </c>
      <c r="R43" s="85">
        <v>5</v>
      </c>
      <c r="S43" s="41" t="str">
        <f>IF(COUNTA(#REF!)=1,"유","무")</f>
        <v>유</v>
      </c>
      <c r="T43" s="86">
        <v>192.58</v>
      </c>
      <c r="U43" s="86">
        <v>6.42</v>
      </c>
      <c r="V43" s="42" t="s">
        <v>39</v>
      </c>
    </row>
    <row r="44" spans="1:22" ht="27" customHeight="1" x14ac:dyDescent="0.15">
      <c r="A44" s="145">
        <v>38</v>
      </c>
      <c r="B44" s="42">
        <v>2004675</v>
      </c>
      <c r="C44" s="42" t="s">
        <v>357</v>
      </c>
      <c r="D44" s="42" t="s">
        <v>1507</v>
      </c>
      <c r="E44" s="42" t="s">
        <v>46</v>
      </c>
      <c r="F44" s="42" t="s">
        <v>65</v>
      </c>
      <c r="G44" s="75" t="s">
        <v>37</v>
      </c>
      <c r="H44" s="42" t="s">
        <v>1359</v>
      </c>
      <c r="I44" s="42" t="s">
        <v>241</v>
      </c>
      <c r="J44" s="43" t="s">
        <v>539</v>
      </c>
      <c r="K44" s="8" t="str">
        <f t="shared" si="2"/>
        <v>128-20-54</v>
      </c>
      <c r="L44" s="44" t="s">
        <v>691</v>
      </c>
      <c r="M44" s="8" t="str">
        <f t="shared" si="1"/>
        <v>36-35-03</v>
      </c>
      <c r="N44" s="45">
        <v>26665</v>
      </c>
      <c r="O44" s="42" t="s">
        <v>38</v>
      </c>
      <c r="P44" s="46">
        <v>58.441000000000003</v>
      </c>
      <c r="Q44" s="46">
        <v>67.299000000000007</v>
      </c>
      <c r="R44" s="85">
        <v>6.9</v>
      </c>
      <c r="S44" s="41" t="str">
        <f>IF(COUNTA(#REF!)=1,"유","무")</f>
        <v>유</v>
      </c>
      <c r="T44" s="86">
        <v>1502.17</v>
      </c>
      <c r="U44" s="86">
        <v>10.71</v>
      </c>
      <c r="V44" s="42" t="s">
        <v>39</v>
      </c>
    </row>
    <row r="45" spans="1:22" ht="27" customHeight="1" x14ac:dyDescent="0.15">
      <c r="A45" s="145">
        <v>39</v>
      </c>
      <c r="B45" s="42">
        <v>2004680</v>
      </c>
      <c r="C45" s="42" t="s">
        <v>358</v>
      </c>
      <c r="D45" s="42" t="s">
        <v>1508</v>
      </c>
      <c r="E45" s="42" t="s">
        <v>46</v>
      </c>
      <c r="F45" s="42" t="s">
        <v>65</v>
      </c>
      <c r="G45" s="75" t="s">
        <v>37</v>
      </c>
      <c r="H45" s="42" t="s">
        <v>98</v>
      </c>
      <c r="I45" s="42" t="s">
        <v>242</v>
      </c>
      <c r="J45" s="43" t="s">
        <v>540</v>
      </c>
      <c r="K45" s="8" t="str">
        <f t="shared" si="2"/>
        <v>128-19-10</v>
      </c>
      <c r="L45" s="44" t="s">
        <v>692</v>
      </c>
      <c r="M45" s="8" t="str">
        <f t="shared" si="1"/>
        <v>36-35-10</v>
      </c>
      <c r="N45" s="45">
        <v>39108</v>
      </c>
      <c r="O45" s="42" t="s">
        <v>38</v>
      </c>
      <c r="P45" s="46">
        <v>52.804000000000002</v>
      </c>
      <c r="Q45" s="46">
        <v>60.115000000000002</v>
      </c>
      <c r="R45" s="85">
        <v>13</v>
      </c>
      <c r="S45" s="41" t="str">
        <f>IF(COUNTA(#REF!)=1,"유","무")</f>
        <v>유</v>
      </c>
      <c r="T45" s="86">
        <v>1514.28</v>
      </c>
      <c r="U45" s="86">
        <v>3.92</v>
      </c>
      <c r="V45" s="42" t="s">
        <v>39</v>
      </c>
    </row>
    <row r="46" spans="1:22" ht="27" customHeight="1" x14ac:dyDescent="0.15">
      <c r="A46" s="145">
        <v>40</v>
      </c>
      <c r="B46" s="42">
        <v>2004689</v>
      </c>
      <c r="C46" s="42" t="s">
        <v>1816</v>
      </c>
      <c r="D46" s="42" t="s">
        <v>1910</v>
      </c>
      <c r="E46" s="42" t="s">
        <v>46</v>
      </c>
      <c r="F46" s="42" t="s">
        <v>76</v>
      </c>
      <c r="G46" s="75" t="s">
        <v>37</v>
      </c>
      <c r="H46" s="42" t="s">
        <v>2301</v>
      </c>
      <c r="I46" s="42" t="s">
        <v>2258</v>
      </c>
      <c r="J46" s="8" t="s">
        <v>2065</v>
      </c>
      <c r="K46" s="8" t="str">
        <f>LEFT(TRIM(J46),7)&amp;TEXT(ROUND(RIGHT(TRIM(J46),LEN(TRIM(J46))-7),0),"00")</f>
        <v>128-15-45</v>
      </c>
      <c r="L46" s="8" t="s">
        <v>2160</v>
      </c>
      <c r="M46" s="8" t="str">
        <f>LEFT(TRIM(L46),6)&amp;TEXT(ROUND(RIGHT(TRIM(L46),LEN(TRIM(L46))-6),0),"00")</f>
        <v>36-39-51</v>
      </c>
      <c r="N46" s="45">
        <v>45658</v>
      </c>
      <c r="O46" s="42"/>
      <c r="P46" s="46">
        <v>95.638999999999996</v>
      </c>
      <c r="Q46" s="47">
        <v>102.619</v>
      </c>
      <c r="R46" s="85">
        <v>5</v>
      </c>
      <c r="S46" s="41" t="str">
        <f>IF(COUNTA(#REF!)=1,"유","무")</f>
        <v>유</v>
      </c>
      <c r="T46" s="86">
        <v>188.14599999999999</v>
      </c>
      <c r="U46" s="86">
        <v>12.295999999999999</v>
      </c>
      <c r="V46" s="42"/>
    </row>
    <row r="47" spans="1:22" ht="27" customHeight="1" x14ac:dyDescent="0.15">
      <c r="A47" s="145">
        <v>41</v>
      </c>
      <c r="B47" s="42">
        <v>2004690</v>
      </c>
      <c r="C47" s="42" t="s">
        <v>1815</v>
      </c>
      <c r="D47" s="42" t="s">
        <v>2194</v>
      </c>
      <c r="E47" s="42" t="s">
        <v>46</v>
      </c>
      <c r="F47" s="42" t="s">
        <v>76</v>
      </c>
      <c r="G47" s="75" t="s">
        <v>507</v>
      </c>
      <c r="H47" s="42" t="s">
        <v>2299</v>
      </c>
      <c r="I47" s="42" t="s">
        <v>2257</v>
      </c>
      <c r="J47" s="8" t="s">
        <v>2064</v>
      </c>
      <c r="K47" s="8" t="str">
        <f>LEFT(TRIM(J47),7)&amp;TEXT(ROUND(RIGHT(TRIM(J47),LEN(TRIM(J47))-7),0),"00")</f>
        <v>128-18-42</v>
      </c>
      <c r="L47" s="8" t="s">
        <v>2159</v>
      </c>
      <c r="M47" s="8" t="str">
        <f>LEFT(TRIM(L47),6)&amp;TEXT(ROUND(RIGHT(TRIM(L47),LEN(TRIM(L47))-6),0),"00")</f>
        <v>36-41-39</v>
      </c>
      <c r="N47" s="45">
        <v>45658</v>
      </c>
      <c r="O47" s="42"/>
      <c r="P47" s="46">
        <v>193.93100000000001</v>
      </c>
      <c r="Q47" s="47">
        <v>231.84399999999999</v>
      </c>
      <c r="R47" s="85">
        <v>37.299999999999997</v>
      </c>
      <c r="S47" s="41" t="str">
        <f>IF(COUNTA(#REF!)=1,"유","무")</f>
        <v>유</v>
      </c>
      <c r="T47" s="86">
        <v>93.474000000000004</v>
      </c>
      <c r="U47" s="86">
        <v>20.957999999999998</v>
      </c>
      <c r="V47" s="42"/>
    </row>
    <row r="48" spans="1:22" ht="27" customHeight="1" x14ac:dyDescent="0.15">
      <c r="A48" s="145">
        <v>42</v>
      </c>
      <c r="B48" s="42">
        <v>2004695</v>
      </c>
      <c r="C48" s="42" t="s">
        <v>359</v>
      </c>
      <c r="D48" s="42" t="s">
        <v>1509</v>
      </c>
      <c r="E48" s="42" t="s">
        <v>46</v>
      </c>
      <c r="F48" s="42" t="s">
        <v>76</v>
      </c>
      <c r="G48" s="75" t="s">
        <v>37</v>
      </c>
      <c r="H48" s="42" t="s">
        <v>82</v>
      </c>
      <c r="I48" s="42" t="s">
        <v>243</v>
      </c>
      <c r="J48" s="43" t="s">
        <v>541</v>
      </c>
      <c r="K48" s="8" t="str">
        <f t="shared" si="2"/>
        <v>128-15-39</v>
      </c>
      <c r="L48" s="44" t="s">
        <v>693</v>
      </c>
      <c r="M48" s="8" t="str">
        <f t="shared" si="1"/>
        <v>36-36-41</v>
      </c>
      <c r="N48" s="45">
        <v>24838</v>
      </c>
      <c r="O48" s="42" t="s">
        <v>38</v>
      </c>
      <c r="P48" s="46">
        <v>67.994</v>
      </c>
      <c r="Q48" s="46">
        <v>74.381</v>
      </c>
      <c r="R48" s="85">
        <v>6</v>
      </c>
      <c r="S48" s="41" t="str">
        <f>IF(COUNTA(#REF!)=1,"유","무")</f>
        <v>유</v>
      </c>
      <c r="T48" s="86">
        <v>212.1</v>
      </c>
      <c r="U48" s="86">
        <v>5.26</v>
      </c>
      <c r="V48" s="42" t="s">
        <v>39</v>
      </c>
    </row>
    <row r="49" spans="1:22" s="23" customFormat="1" ht="27" customHeight="1" x14ac:dyDescent="0.15">
      <c r="A49" s="145">
        <v>43</v>
      </c>
      <c r="B49" s="41">
        <v>2005610</v>
      </c>
      <c r="C49" s="41" t="s">
        <v>1367</v>
      </c>
      <c r="D49" s="41" t="s">
        <v>1510</v>
      </c>
      <c r="E49" s="42" t="s">
        <v>46</v>
      </c>
      <c r="F49" s="41" t="s">
        <v>1403</v>
      </c>
      <c r="G49" s="75" t="s">
        <v>507</v>
      </c>
      <c r="H49" s="42" t="s">
        <v>1744</v>
      </c>
      <c r="I49" s="42" t="s">
        <v>1376</v>
      </c>
      <c r="J49" s="8" t="s">
        <v>1396</v>
      </c>
      <c r="K49" s="8" t="str">
        <f>LEFT(TRIM(J49),7)&amp;TEXT(ROUND(RIGHT(TRIM(J49),LEN(TRIM(J49))-7),0),"00")</f>
        <v>128-03-17</v>
      </c>
      <c r="L49" s="8" t="s">
        <v>1390</v>
      </c>
      <c r="M49" s="8" t="str">
        <f>LEFT(TRIM(L49),6)&amp;TEXT(ROUND(RIGHT(TRIM(L49),LEN(TRIM(L49))-6),0),"00")</f>
        <v>36-38-05</v>
      </c>
      <c r="N49" s="45">
        <v>44935</v>
      </c>
      <c r="O49" s="42" t="s">
        <v>1455</v>
      </c>
      <c r="P49" s="48">
        <v>135.22200000000001</v>
      </c>
      <c r="Q49" s="49">
        <v>142.583</v>
      </c>
      <c r="R49" s="50">
        <v>8</v>
      </c>
      <c r="S49" s="41" t="str">
        <f>IF(COUNTA(#REF!)=1,"유","무")</f>
        <v>유</v>
      </c>
      <c r="T49" s="51">
        <v>193.452</v>
      </c>
      <c r="U49" s="51">
        <v>39.715000000000003</v>
      </c>
      <c r="V49" s="41" t="s">
        <v>1460</v>
      </c>
    </row>
    <row r="50" spans="1:22" ht="27" customHeight="1" x14ac:dyDescent="0.15">
      <c r="A50" s="145">
        <v>44</v>
      </c>
      <c r="B50" s="42">
        <v>2005640</v>
      </c>
      <c r="C50" s="42" t="s">
        <v>360</v>
      </c>
      <c r="D50" s="42" t="s">
        <v>1511</v>
      </c>
      <c r="E50" s="42" t="s">
        <v>46</v>
      </c>
      <c r="F50" s="42" t="s">
        <v>78</v>
      </c>
      <c r="G50" s="75" t="s">
        <v>507</v>
      </c>
      <c r="H50" s="42" t="s">
        <v>1743</v>
      </c>
      <c r="I50" s="42" t="s">
        <v>244</v>
      </c>
      <c r="J50" s="43" t="s">
        <v>542</v>
      </c>
      <c r="K50" s="8" t="str">
        <f t="shared" si="2"/>
        <v>128-05-11</v>
      </c>
      <c r="L50" s="44" t="s">
        <v>694</v>
      </c>
      <c r="M50" s="8" t="str">
        <f t="shared" si="1"/>
        <v>36-38-20</v>
      </c>
      <c r="N50" s="45">
        <v>40909</v>
      </c>
      <c r="O50" s="42" t="s">
        <v>38</v>
      </c>
      <c r="P50" s="46">
        <v>126.77</v>
      </c>
      <c r="Q50" s="46">
        <v>135.232</v>
      </c>
      <c r="R50" s="85">
        <v>9.5</v>
      </c>
      <c r="S50" s="41" t="str">
        <f>IF(COUNTA(#REF!)=1,"유","무")</f>
        <v>유</v>
      </c>
      <c r="T50" s="86">
        <v>286.49</v>
      </c>
      <c r="U50" s="86">
        <v>35.85</v>
      </c>
      <c r="V50" s="42" t="s">
        <v>926</v>
      </c>
    </row>
    <row r="51" spans="1:22" s="23" customFormat="1" ht="27" customHeight="1" x14ac:dyDescent="0.15">
      <c r="A51" s="145">
        <v>45</v>
      </c>
      <c r="B51" s="41">
        <v>2005643</v>
      </c>
      <c r="C51" s="41" t="s">
        <v>1365</v>
      </c>
      <c r="D51" s="41" t="s">
        <v>1512</v>
      </c>
      <c r="E51" s="41" t="s">
        <v>1449</v>
      </c>
      <c r="F51" s="41" t="s">
        <v>1401</v>
      </c>
      <c r="G51" s="75" t="s">
        <v>507</v>
      </c>
      <c r="H51" s="42" t="s">
        <v>1744</v>
      </c>
      <c r="I51" s="42" t="s">
        <v>1374</v>
      </c>
      <c r="J51" s="8" t="s">
        <v>1395</v>
      </c>
      <c r="K51" s="8" t="str">
        <f>LEFT(TRIM(J51),7)&amp;TEXT(ROUND(RIGHT(TRIM(J51),LEN(TRIM(J51))-7),0),"00")</f>
        <v>128-07-24</v>
      </c>
      <c r="L51" s="8" t="s">
        <v>1388</v>
      </c>
      <c r="M51" s="8" t="str">
        <f>LEFT(TRIM(L51),6)&amp;TEXT(ROUND(RIGHT(TRIM(L51),LEN(TRIM(L51))-6),0),"00")</f>
        <v>36-40-09</v>
      </c>
      <c r="N51" s="45">
        <v>44935</v>
      </c>
      <c r="O51" s="42" t="s">
        <v>1455</v>
      </c>
      <c r="P51" s="48">
        <v>103.72199999999999</v>
      </c>
      <c r="Q51" s="49">
        <v>113.27800000000001</v>
      </c>
      <c r="R51" s="50">
        <v>6</v>
      </c>
      <c r="S51" s="41" t="str">
        <f>IF(COUNTA(#REF!)=1,"유","무")</f>
        <v>유</v>
      </c>
      <c r="T51" s="51">
        <v>197.101</v>
      </c>
      <c r="U51" s="51">
        <v>0.66700000000000004</v>
      </c>
      <c r="V51" s="41" t="s">
        <v>1460</v>
      </c>
    </row>
    <row r="52" spans="1:22" ht="27" customHeight="1" x14ac:dyDescent="0.15">
      <c r="A52" s="145">
        <v>46</v>
      </c>
      <c r="B52" s="42">
        <v>2005650</v>
      </c>
      <c r="C52" s="42" t="s">
        <v>1456</v>
      </c>
      <c r="D52" s="42" t="s">
        <v>1513</v>
      </c>
      <c r="E52" s="42" t="s">
        <v>46</v>
      </c>
      <c r="F52" s="42" t="s">
        <v>78</v>
      </c>
      <c r="G52" s="75" t="s">
        <v>37</v>
      </c>
      <c r="H52" s="42" t="s">
        <v>1750</v>
      </c>
      <c r="I52" s="42" t="s">
        <v>1303</v>
      </c>
      <c r="J52" s="43" t="s">
        <v>977</v>
      </c>
      <c r="K52" s="8" t="str">
        <f t="shared" si="2"/>
        <v>128-08-55</v>
      </c>
      <c r="L52" s="44" t="s">
        <v>978</v>
      </c>
      <c r="M52" s="8" t="str">
        <f t="shared" si="1"/>
        <v>36-38-45</v>
      </c>
      <c r="N52" s="45">
        <v>35425</v>
      </c>
      <c r="O52" s="42" t="s">
        <v>38</v>
      </c>
      <c r="P52" s="46">
        <v>87.076999999999998</v>
      </c>
      <c r="Q52" s="46">
        <v>95.188000000000002</v>
      </c>
      <c r="R52" s="85">
        <v>6</v>
      </c>
      <c r="S52" s="41" t="str">
        <f>IF(COUNTA(#REF!)=1,"유","무")</f>
        <v>유</v>
      </c>
      <c r="T52" s="86">
        <v>533.96</v>
      </c>
      <c r="U52" s="86">
        <v>23.71</v>
      </c>
      <c r="V52" s="42" t="s">
        <v>39</v>
      </c>
    </row>
    <row r="53" spans="1:22" ht="27" customHeight="1" x14ac:dyDescent="0.15">
      <c r="A53" s="145">
        <v>47</v>
      </c>
      <c r="B53" s="8">
        <v>2005660</v>
      </c>
      <c r="C53" s="42" t="s">
        <v>361</v>
      </c>
      <c r="D53" s="42" t="s">
        <v>1514</v>
      </c>
      <c r="E53" s="8" t="s">
        <v>46</v>
      </c>
      <c r="F53" s="8" t="s">
        <v>78</v>
      </c>
      <c r="G53" s="75" t="s">
        <v>37</v>
      </c>
      <c r="H53" s="42" t="s">
        <v>496</v>
      </c>
      <c r="I53" s="8" t="s">
        <v>843</v>
      </c>
      <c r="J53" s="43" t="s">
        <v>543</v>
      </c>
      <c r="K53" s="8" t="str">
        <f t="shared" si="2"/>
        <v>128-13-00</v>
      </c>
      <c r="L53" s="44" t="s">
        <v>695</v>
      </c>
      <c r="M53" s="8" t="str">
        <f t="shared" si="1"/>
        <v>36-35-21</v>
      </c>
      <c r="N53" s="83">
        <v>24077</v>
      </c>
      <c r="O53" s="8" t="s">
        <v>38</v>
      </c>
      <c r="P53" s="46">
        <v>62.956000000000003</v>
      </c>
      <c r="Q53" s="46">
        <v>71.418000000000006</v>
      </c>
      <c r="R53" s="8">
        <v>7</v>
      </c>
      <c r="S53" s="41" t="str">
        <f>IF(COUNTA(#REF!)=1,"유","무")</f>
        <v>유</v>
      </c>
      <c r="T53" s="84">
        <v>609.41999999999996</v>
      </c>
      <c r="U53" s="84">
        <v>11.27</v>
      </c>
      <c r="V53" s="8" t="s">
        <v>39</v>
      </c>
    </row>
    <row r="54" spans="1:22" ht="27" customHeight="1" x14ac:dyDescent="0.15">
      <c r="A54" s="145">
        <v>48</v>
      </c>
      <c r="B54" s="42">
        <v>2005675</v>
      </c>
      <c r="C54" s="42" t="s">
        <v>1832</v>
      </c>
      <c r="D54" s="42" t="s">
        <v>1926</v>
      </c>
      <c r="E54" s="42" t="s">
        <v>46</v>
      </c>
      <c r="F54" s="42" t="s">
        <v>81</v>
      </c>
      <c r="G54" s="75" t="s">
        <v>507</v>
      </c>
      <c r="H54" s="42" t="s">
        <v>2299</v>
      </c>
      <c r="I54" s="42" t="s">
        <v>2273</v>
      </c>
      <c r="J54" s="8" t="s">
        <v>2081</v>
      </c>
      <c r="K54" s="8" t="str">
        <f>LEFT(TRIM(J54),7)&amp;TEXT(ROUND(RIGHT(TRIM(J54),LEN(TRIM(J54))-7),0),"00")</f>
        <v>128-06-37</v>
      </c>
      <c r="L54" s="8" t="s">
        <v>2176</v>
      </c>
      <c r="M54" s="8" t="str">
        <f>LEFT(TRIM(L54),6)&amp;TEXT(ROUND(RIGHT(TRIM(L54),LEN(TRIM(L54))-6),0),"00")</f>
        <v>36-31-03</v>
      </c>
      <c r="N54" s="45">
        <v>45658</v>
      </c>
      <c r="O54" s="42"/>
      <c r="P54" s="46">
        <v>85.801000000000002</v>
      </c>
      <c r="Q54" s="47">
        <v>91.918000000000006</v>
      </c>
      <c r="R54" s="85">
        <v>5</v>
      </c>
      <c r="S54" s="41" t="str">
        <f>IF(COUNTA(#REF!)=1,"유","무")</f>
        <v>유</v>
      </c>
      <c r="T54" s="86">
        <v>147.17099999999999</v>
      </c>
      <c r="U54" s="86">
        <v>18.132000000000001</v>
      </c>
      <c r="V54" s="42"/>
    </row>
    <row r="55" spans="1:22" ht="27" customHeight="1" x14ac:dyDescent="0.15">
      <c r="A55" s="145">
        <v>49</v>
      </c>
      <c r="B55" s="42">
        <v>2005680</v>
      </c>
      <c r="C55" s="42" t="s">
        <v>362</v>
      </c>
      <c r="D55" s="42" t="s">
        <v>1515</v>
      </c>
      <c r="E55" s="42" t="s">
        <v>46</v>
      </c>
      <c r="F55" s="42" t="s">
        <v>81</v>
      </c>
      <c r="G55" s="75" t="s">
        <v>37</v>
      </c>
      <c r="H55" s="42" t="s">
        <v>1743</v>
      </c>
      <c r="I55" s="42" t="s">
        <v>245</v>
      </c>
      <c r="J55" s="43" t="s">
        <v>544</v>
      </c>
      <c r="K55" s="8" t="str">
        <f t="shared" si="2"/>
        <v>128-09-32</v>
      </c>
      <c r="L55" s="44" t="s">
        <v>696</v>
      </c>
      <c r="M55" s="8" t="str">
        <f t="shared" si="1"/>
        <v>36-32-38</v>
      </c>
      <c r="N55" s="45">
        <v>24838</v>
      </c>
      <c r="O55" s="42" t="s">
        <v>38</v>
      </c>
      <c r="P55" s="46">
        <v>62.96</v>
      </c>
      <c r="Q55" s="46">
        <v>70.822000000000003</v>
      </c>
      <c r="R55" s="85">
        <v>4</v>
      </c>
      <c r="S55" s="41" t="str">
        <f>IF(COUNTA(#REF!)=1,"유","무")</f>
        <v>유</v>
      </c>
      <c r="T55" s="86">
        <v>188.99</v>
      </c>
      <c r="U55" s="86">
        <v>7.27</v>
      </c>
      <c r="V55" s="42" t="s">
        <v>43</v>
      </c>
    </row>
    <row r="56" spans="1:22" ht="27" customHeight="1" x14ac:dyDescent="0.15">
      <c r="A56" s="145">
        <v>50</v>
      </c>
      <c r="B56" s="42">
        <v>2006625</v>
      </c>
      <c r="C56" s="42" t="s">
        <v>363</v>
      </c>
      <c r="D56" s="42" t="s">
        <v>1516</v>
      </c>
      <c r="E56" s="42" t="s">
        <v>46</v>
      </c>
      <c r="F56" s="42" t="s">
        <v>845</v>
      </c>
      <c r="G56" s="75" t="s">
        <v>37</v>
      </c>
      <c r="H56" s="42" t="s">
        <v>98</v>
      </c>
      <c r="I56" s="42" t="s">
        <v>846</v>
      </c>
      <c r="J56" s="43" t="s">
        <v>545</v>
      </c>
      <c r="K56" s="8" t="str">
        <f t="shared" si="2"/>
        <v>128-13-17</v>
      </c>
      <c r="L56" s="44" t="s">
        <v>697</v>
      </c>
      <c r="M56" s="8" t="str">
        <f t="shared" si="1"/>
        <v>36-26-08</v>
      </c>
      <c r="N56" s="45">
        <v>37712</v>
      </c>
      <c r="O56" s="42" t="s">
        <v>38</v>
      </c>
      <c r="P56" s="46">
        <v>39.308999999999997</v>
      </c>
      <c r="Q56" s="46">
        <v>54.595999999999997</v>
      </c>
      <c r="R56" s="85">
        <v>14</v>
      </c>
      <c r="S56" s="41" t="str">
        <f>IF(COUNTA(#REF!)=1,"유","무")</f>
        <v>유</v>
      </c>
      <c r="T56" s="86">
        <v>420.72</v>
      </c>
      <c r="U56" s="86">
        <v>1.41</v>
      </c>
      <c r="V56" s="42" t="s">
        <v>39</v>
      </c>
    </row>
    <row r="57" spans="1:22" ht="27" customHeight="1" x14ac:dyDescent="0.15">
      <c r="A57" s="145">
        <v>51</v>
      </c>
      <c r="B57" s="42">
        <v>2006630</v>
      </c>
      <c r="C57" s="42" t="s">
        <v>364</v>
      </c>
      <c r="D57" s="42" t="s">
        <v>1517</v>
      </c>
      <c r="E57" s="42" t="s">
        <v>46</v>
      </c>
      <c r="F57" s="42" t="s">
        <v>845</v>
      </c>
      <c r="G57" s="75" t="s">
        <v>37</v>
      </c>
      <c r="H57" s="42" t="s">
        <v>180</v>
      </c>
      <c r="I57" s="42" t="s">
        <v>848</v>
      </c>
      <c r="J57" s="43" t="s">
        <v>546</v>
      </c>
      <c r="K57" s="8" t="str">
        <f t="shared" si="2"/>
        <v>128-08-52</v>
      </c>
      <c r="L57" s="44" t="s">
        <v>698</v>
      </c>
      <c r="M57" s="8" t="str">
        <f t="shared" si="1"/>
        <v>36-22-31</v>
      </c>
      <c r="N57" s="45">
        <v>24838</v>
      </c>
      <c r="O57" s="42" t="s">
        <v>38</v>
      </c>
      <c r="P57" s="46">
        <v>56.469000000000001</v>
      </c>
      <c r="Q57" s="46">
        <v>64.352999999999994</v>
      </c>
      <c r="R57" s="85">
        <v>8</v>
      </c>
      <c r="S57" s="41" t="str">
        <f>IF(COUNTA(#REF!)=1,"유","무")</f>
        <v>유</v>
      </c>
      <c r="T57" s="86">
        <v>152.12</v>
      </c>
      <c r="U57" s="86">
        <v>12.33</v>
      </c>
      <c r="V57" s="42" t="s">
        <v>43</v>
      </c>
    </row>
    <row r="58" spans="1:22" ht="27" customHeight="1" x14ac:dyDescent="0.15">
      <c r="A58" s="145">
        <v>52</v>
      </c>
      <c r="B58" s="42">
        <v>2006650</v>
      </c>
      <c r="C58" s="42" t="s">
        <v>1833</v>
      </c>
      <c r="D58" s="42" t="s">
        <v>1927</v>
      </c>
      <c r="E58" s="42" t="s">
        <v>46</v>
      </c>
      <c r="F58" s="42" t="s">
        <v>850</v>
      </c>
      <c r="G58" s="75" t="s">
        <v>507</v>
      </c>
      <c r="H58" s="42" t="s">
        <v>2301</v>
      </c>
      <c r="I58" s="42" t="s">
        <v>2274</v>
      </c>
      <c r="J58" s="8" t="s">
        <v>2082</v>
      </c>
      <c r="K58" s="8" t="str">
        <f>LEFT(TRIM(J58),7)&amp;TEXT(ROUND(RIGHT(TRIM(J58),LEN(TRIM(J58))-7),0),"00")</f>
        <v>128-06-09</v>
      </c>
      <c r="L58" s="8" t="s">
        <v>2177</v>
      </c>
      <c r="M58" s="8" t="str">
        <f>LEFT(TRIM(L58),6)&amp;TEXT(ROUND(RIGHT(TRIM(L58),LEN(TRIM(L58))-6),0),"00")</f>
        <v>36-24-20</v>
      </c>
      <c r="N58" s="45">
        <v>45658</v>
      </c>
      <c r="O58" s="42"/>
      <c r="P58" s="46">
        <v>71.655000000000001</v>
      </c>
      <c r="Q58" s="47">
        <v>78.057000000000002</v>
      </c>
      <c r="R58" s="85">
        <v>5</v>
      </c>
      <c r="S58" s="41" t="str">
        <f>IF(COUNTA(#REF!)=1,"유","무")</f>
        <v>유</v>
      </c>
      <c r="T58" s="86">
        <v>89.076999999999998</v>
      </c>
      <c r="U58" s="86">
        <v>9.8539999999999992</v>
      </c>
      <c r="V58" s="42"/>
    </row>
    <row r="59" spans="1:22" ht="27" customHeight="1" x14ac:dyDescent="0.15">
      <c r="A59" s="145">
        <v>53</v>
      </c>
      <c r="B59" s="42">
        <v>2006665</v>
      </c>
      <c r="C59" s="42" t="s">
        <v>365</v>
      </c>
      <c r="D59" s="42" t="s">
        <v>1518</v>
      </c>
      <c r="E59" s="42" t="s">
        <v>46</v>
      </c>
      <c r="F59" s="42" t="s">
        <v>850</v>
      </c>
      <c r="G59" s="75" t="s">
        <v>37</v>
      </c>
      <c r="H59" s="42" t="s">
        <v>1314</v>
      </c>
      <c r="I59" s="42" t="s">
        <v>851</v>
      </c>
      <c r="J59" s="43" t="s">
        <v>547</v>
      </c>
      <c r="K59" s="8" t="str">
        <f t="shared" si="2"/>
        <v>128-09-31</v>
      </c>
      <c r="L59" s="44" t="s">
        <v>699</v>
      </c>
      <c r="M59" s="8" t="str">
        <f t="shared" si="1"/>
        <v>36-25-41</v>
      </c>
      <c r="N59" s="45">
        <v>15615</v>
      </c>
      <c r="O59" s="42" t="s">
        <v>38</v>
      </c>
      <c r="P59" s="46">
        <v>52.327999999999996</v>
      </c>
      <c r="Q59" s="46">
        <v>60.835000000000001</v>
      </c>
      <c r="R59" s="85">
        <v>5</v>
      </c>
      <c r="S59" s="41" t="str">
        <f>IF(COUNTA(#REF!)=1,"유","무")</f>
        <v>유</v>
      </c>
      <c r="T59" s="86">
        <v>121.93</v>
      </c>
      <c r="U59" s="86">
        <v>3.2</v>
      </c>
      <c r="V59" s="42" t="s">
        <v>39</v>
      </c>
    </row>
    <row r="60" spans="1:22" ht="27" customHeight="1" x14ac:dyDescent="0.15">
      <c r="A60" s="145">
        <v>54</v>
      </c>
      <c r="B60" s="42">
        <v>2006675</v>
      </c>
      <c r="C60" s="42" t="s">
        <v>366</v>
      </c>
      <c r="D60" s="42" t="s">
        <v>2309</v>
      </c>
      <c r="E60" s="42" t="s">
        <v>46</v>
      </c>
      <c r="F60" s="42" t="s">
        <v>845</v>
      </c>
      <c r="G60" s="75" t="s">
        <v>37</v>
      </c>
      <c r="H60" s="42" t="s">
        <v>1315</v>
      </c>
      <c r="I60" s="42" t="s">
        <v>853</v>
      </c>
      <c r="J60" s="43" t="s">
        <v>548</v>
      </c>
      <c r="K60" s="8" t="str">
        <f t="shared" si="2"/>
        <v>128-10-59</v>
      </c>
      <c r="L60" s="44" t="s">
        <v>700</v>
      </c>
      <c r="M60" s="8" t="str">
        <f t="shared" si="1"/>
        <v>36-25-07</v>
      </c>
      <c r="N60" s="45">
        <v>40179</v>
      </c>
      <c r="O60" s="42" t="s">
        <v>38</v>
      </c>
      <c r="P60" s="46">
        <v>47.075000000000003</v>
      </c>
      <c r="Q60" s="46">
        <v>55.24</v>
      </c>
      <c r="R60" s="85">
        <v>10</v>
      </c>
      <c r="S60" s="41" t="str">
        <f>IF(COUNTA(#REF!)=1,"유","무")</f>
        <v>유</v>
      </c>
      <c r="T60" s="86">
        <v>177.23</v>
      </c>
      <c r="U60" s="86">
        <v>5.85</v>
      </c>
      <c r="V60" s="42" t="s">
        <v>39</v>
      </c>
    </row>
    <row r="61" spans="1:22" ht="27" customHeight="1" x14ac:dyDescent="0.15">
      <c r="A61" s="145">
        <v>55</v>
      </c>
      <c r="B61" s="42">
        <v>2007620</v>
      </c>
      <c r="C61" s="42" t="s">
        <v>367</v>
      </c>
      <c r="D61" s="42" t="s">
        <v>1519</v>
      </c>
      <c r="E61" s="42" t="s">
        <v>46</v>
      </c>
      <c r="F61" s="42" t="s">
        <v>46</v>
      </c>
      <c r="G61" s="75" t="s">
        <v>37</v>
      </c>
      <c r="H61" s="42" t="s">
        <v>40</v>
      </c>
      <c r="I61" s="42" t="s">
        <v>855</v>
      </c>
      <c r="J61" s="43" t="s">
        <v>549</v>
      </c>
      <c r="K61" s="8" t="str">
        <f t="shared" si="2"/>
        <v>128-15-41</v>
      </c>
      <c r="L61" s="44" t="s">
        <v>701</v>
      </c>
      <c r="M61" s="8" t="str">
        <f t="shared" si="1"/>
        <v>36-32-33</v>
      </c>
      <c r="N61" s="45">
        <v>39108</v>
      </c>
      <c r="O61" s="42" t="s">
        <v>38</v>
      </c>
      <c r="P61" s="46">
        <v>46.406999999999996</v>
      </c>
      <c r="Q61" s="46">
        <v>57.448999999999998</v>
      </c>
      <c r="R61" s="85">
        <v>11</v>
      </c>
      <c r="S61" s="41" t="str">
        <f>IF(COUNTA(#REF!)=1,"유","무")</f>
        <v>유</v>
      </c>
      <c r="T61" s="86">
        <v>6415.21</v>
      </c>
      <c r="U61" s="86">
        <v>268.12299999999999</v>
      </c>
      <c r="V61" s="42" t="s">
        <v>926</v>
      </c>
    </row>
    <row r="62" spans="1:22" s="25" customFormat="1" ht="27" customHeight="1" x14ac:dyDescent="0.15">
      <c r="A62" s="145">
        <v>56</v>
      </c>
      <c r="B62" s="42">
        <v>2007640</v>
      </c>
      <c r="C62" s="42" t="s">
        <v>368</v>
      </c>
      <c r="D62" s="42" t="s">
        <v>1520</v>
      </c>
      <c r="E62" s="42" t="s">
        <v>46</v>
      </c>
      <c r="F62" s="42" t="s">
        <v>46</v>
      </c>
      <c r="G62" s="75" t="s">
        <v>507</v>
      </c>
      <c r="H62" s="42" t="s">
        <v>180</v>
      </c>
      <c r="I62" s="42" t="s">
        <v>857</v>
      </c>
      <c r="J62" s="43" t="s">
        <v>1312</v>
      </c>
      <c r="K62" s="8" t="str">
        <f t="shared" si="2"/>
        <v>128-17-47</v>
      </c>
      <c r="L62" s="44" t="s">
        <v>1313</v>
      </c>
      <c r="M62" s="8" t="str">
        <f t="shared" si="1"/>
        <v>36-33-20</v>
      </c>
      <c r="N62" s="45">
        <v>22828</v>
      </c>
      <c r="O62" s="42" t="s">
        <v>38</v>
      </c>
      <c r="P62" s="46">
        <v>46.677</v>
      </c>
      <c r="Q62" s="46">
        <v>60.420999999999999</v>
      </c>
      <c r="R62" s="85">
        <v>12</v>
      </c>
      <c r="S62" s="41" t="str">
        <f>IF(COUNTA(#REF!)=1,"유","무")</f>
        <v>유</v>
      </c>
      <c r="T62" s="86">
        <v>6401.53</v>
      </c>
      <c r="U62" s="86">
        <v>272.08499999999998</v>
      </c>
      <c r="V62" s="42" t="s">
        <v>39</v>
      </c>
    </row>
    <row r="63" spans="1:22" ht="27" customHeight="1" x14ac:dyDescent="0.15">
      <c r="A63" s="145">
        <v>57</v>
      </c>
      <c r="B63" s="42">
        <v>2007660</v>
      </c>
      <c r="C63" s="42" t="s">
        <v>369</v>
      </c>
      <c r="D63" s="42" t="s">
        <v>1521</v>
      </c>
      <c r="E63" s="42" t="s">
        <v>46</v>
      </c>
      <c r="F63" s="42" t="s">
        <v>46</v>
      </c>
      <c r="G63" s="75" t="s">
        <v>37</v>
      </c>
      <c r="H63" s="42" t="s">
        <v>82</v>
      </c>
      <c r="I63" s="42" t="s">
        <v>858</v>
      </c>
      <c r="J63" s="43" t="s">
        <v>550</v>
      </c>
      <c r="K63" s="8" t="str">
        <f t="shared" si="2"/>
        <v>128-16-07</v>
      </c>
      <c r="L63" s="44" t="s">
        <v>702</v>
      </c>
      <c r="M63" s="8" t="str">
        <f t="shared" si="1"/>
        <v>36-29-55</v>
      </c>
      <c r="N63" s="45">
        <v>32143</v>
      </c>
      <c r="O63" s="42" t="s">
        <v>38</v>
      </c>
      <c r="P63" s="46">
        <v>45.78</v>
      </c>
      <c r="Q63" s="46">
        <v>58.622999999999998</v>
      </c>
      <c r="R63" s="85">
        <v>9</v>
      </c>
      <c r="S63" s="41" t="str">
        <f>IF(COUNTA(#REF!)=1,"유","무")</f>
        <v>유</v>
      </c>
      <c r="T63" s="86">
        <v>7342.22</v>
      </c>
      <c r="U63" s="86">
        <v>262.935</v>
      </c>
      <c r="V63" s="42" t="s">
        <v>39</v>
      </c>
    </row>
    <row r="64" spans="1:22" ht="27" customHeight="1" x14ac:dyDescent="0.15">
      <c r="A64" s="145">
        <v>58</v>
      </c>
      <c r="B64" s="42">
        <v>2007680</v>
      </c>
      <c r="C64" s="42" t="s">
        <v>370</v>
      </c>
      <c r="D64" s="42" t="s">
        <v>1522</v>
      </c>
      <c r="E64" s="42" t="s">
        <v>46</v>
      </c>
      <c r="F64" s="42" t="s">
        <v>46</v>
      </c>
      <c r="G64" s="75" t="s">
        <v>37</v>
      </c>
      <c r="H64" s="42" t="s">
        <v>98</v>
      </c>
      <c r="I64" s="42" t="s">
        <v>504</v>
      </c>
      <c r="J64" s="43" t="s">
        <v>551</v>
      </c>
      <c r="K64" s="8" t="str">
        <f t="shared" si="2"/>
        <v>128-15-06</v>
      </c>
      <c r="L64" s="44" t="s">
        <v>703</v>
      </c>
      <c r="M64" s="8" t="str">
        <f t="shared" si="1"/>
        <v>36-25-56</v>
      </c>
      <c r="N64" s="45">
        <v>40329</v>
      </c>
      <c r="O64" s="42" t="s">
        <v>38</v>
      </c>
      <c r="P64" s="46">
        <v>0</v>
      </c>
      <c r="Q64" s="46">
        <v>56.844000000000001</v>
      </c>
      <c r="R64" s="85">
        <v>50</v>
      </c>
      <c r="S64" s="41" t="str">
        <f>IF(COUNTA(#REF!)=1,"유","무")</f>
        <v>유</v>
      </c>
      <c r="T64" s="86">
        <v>7407</v>
      </c>
      <c r="U64" s="86">
        <v>253.78200000000001</v>
      </c>
      <c r="V64" s="42" t="s">
        <v>43</v>
      </c>
    </row>
    <row r="65" spans="1:22" s="10" customFormat="1" ht="27" customHeight="1" x14ac:dyDescent="0.15">
      <c r="A65" s="145">
        <v>59</v>
      </c>
      <c r="B65" s="42">
        <v>2007682</v>
      </c>
      <c r="C65" s="42" t="s">
        <v>371</v>
      </c>
      <c r="D65" s="42" t="s">
        <v>1523</v>
      </c>
      <c r="E65" s="42" t="s">
        <v>46</v>
      </c>
      <c r="F65" s="42" t="s">
        <v>46</v>
      </c>
      <c r="G65" s="75" t="s">
        <v>507</v>
      </c>
      <c r="H65" s="42" t="s">
        <v>2311</v>
      </c>
      <c r="I65" s="42" t="s">
        <v>861</v>
      </c>
      <c r="J65" s="43" t="s">
        <v>552</v>
      </c>
      <c r="K65" s="8" t="str">
        <f t="shared" si="2"/>
        <v>128-14-34</v>
      </c>
      <c r="L65" s="44" t="s">
        <v>704</v>
      </c>
      <c r="M65" s="8" t="str">
        <f t="shared" si="1"/>
        <v>36-26-06</v>
      </c>
      <c r="N65" s="45">
        <v>40725</v>
      </c>
      <c r="O65" s="42" t="s">
        <v>38</v>
      </c>
      <c r="P65" s="46">
        <v>0</v>
      </c>
      <c r="Q65" s="46">
        <v>48.7</v>
      </c>
      <c r="R65" s="85">
        <v>43</v>
      </c>
      <c r="S65" s="41" t="str">
        <f>IF(COUNTA(#REF!)=1,"유","무")</f>
        <v>유</v>
      </c>
      <c r="T65" s="86">
        <v>7407</v>
      </c>
      <c r="U65" s="86">
        <v>253.137</v>
      </c>
      <c r="V65" s="42" t="s">
        <v>39</v>
      </c>
    </row>
    <row r="66" spans="1:22" s="10" customFormat="1" ht="27" customHeight="1" x14ac:dyDescent="0.15">
      <c r="A66" s="145">
        <v>60</v>
      </c>
      <c r="B66" s="42">
        <v>2007686</v>
      </c>
      <c r="C66" s="42" t="s">
        <v>490</v>
      </c>
      <c r="D66" s="42" t="s">
        <v>1524</v>
      </c>
      <c r="E66" s="42" t="s">
        <v>46</v>
      </c>
      <c r="F66" s="42" t="s">
        <v>46</v>
      </c>
      <c r="G66" s="75" t="s">
        <v>37</v>
      </c>
      <c r="H66" s="42" t="s">
        <v>1745</v>
      </c>
      <c r="I66" s="42" t="s">
        <v>505</v>
      </c>
      <c r="J66" s="43" t="s">
        <v>493</v>
      </c>
      <c r="K66" s="8" t="str">
        <f t="shared" si="2"/>
        <v>128-14-40</v>
      </c>
      <c r="L66" s="44" t="s">
        <v>705</v>
      </c>
      <c r="M66" s="8" t="str">
        <f t="shared" si="1"/>
        <v>36-24-35</v>
      </c>
      <c r="N66" s="45">
        <v>43406</v>
      </c>
      <c r="O66" s="42" t="s">
        <v>38</v>
      </c>
      <c r="P66" s="46">
        <v>35.051000000000002</v>
      </c>
      <c r="Q66" s="46">
        <v>52.51</v>
      </c>
      <c r="R66" s="85">
        <v>10</v>
      </c>
      <c r="S66" s="41" t="str">
        <f>IF(COUNTA(#REF!)=1,"유","무")</f>
        <v>유</v>
      </c>
      <c r="T66" s="86">
        <v>7845.48</v>
      </c>
      <c r="U66" s="86">
        <v>250.035</v>
      </c>
      <c r="V66" s="42" t="s">
        <v>39</v>
      </c>
    </row>
    <row r="67" spans="1:22" ht="27" customHeight="1" x14ac:dyDescent="0.15">
      <c r="A67" s="145">
        <v>61</v>
      </c>
      <c r="B67" s="42">
        <v>2008625</v>
      </c>
      <c r="C67" s="42" t="s">
        <v>1842</v>
      </c>
      <c r="D67" s="42" t="s">
        <v>1936</v>
      </c>
      <c r="E67" s="42" t="s">
        <v>46</v>
      </c>
      <c r="F67" s="42" t="s">
        <v>868</v>
      </c>
      <c r="G67" s="75" t="s">
        <v>507</v>
      </c>
      <c r="H67" s="42" t="s">
        <v>2300</v>
      </c>
      <c r="I67" s="42" t="s">
        <v>2283</v>
      </c>
      <c r="J67" s="8" t="s">
        <v>2091</v>
      </c>
      <c r="K67" s="8" t="str">
        <f>LEFT(TRIM(J67),7)&amp;TEXT(ROUND(RIGHT(TRIM(J67),LEN(TRIM(J67))-7),0),"00")</f>
        <v>128-33-44</v>
      </c>
      <c r="L67" s="8" t="s">
        <v>2186</v>
      </c>
      <c r="M67" s="8" t="str">
        <f>LEFT(TRIM(L67),6)&amp;TEXT(ROUND(RIGHT(TRIM(L67),LEN(TRIM(L67))-6),0),"00")</f>
        <v>36-18-46</v>
      </c>
      <c r="N67" s="45">
        <v>45658</v>
      </c>
      <c r="O67" s="42"/>
      <c r="P67" s="46">
        <v>48.201000000000001</v>
      </c>
      <c r="Q67" s="47">
        <v>59.588000000000001</v>
      </c>
      <c r="R67" s="85">
        <v>9</v>
      </c>
      <c r="S67" s="41" t="str">
        <f>IF(COUNTA(#REF!)=1,"유","무")</f>
        <v>유</v>
      </c>
      <c r="T67" s="86">
        <v>477.24799999999999</v>
      </c>
      <c r="U67" s="86">
        <v>3.5569999999999999</v>
      </c>
      <c r="V67" s="42"/>
    </row>
    <row r="68" spans="1:22" s="10" customFormat="1" ht="27" customHeight="1" x14ac:dyDescent="0.15">
      <c r="A68" s="145">
        <v>62</v>
      </c>
      <c r="B68" s="42">
        <v>2008628</v>
      </c>
      <c r="C68" s="42" t="s">
        <v>372</v>
      </c>
      <c r="D68" s="42" t="s">
        <v>1525</v>
      </c>
      <c r="E68" s="42" t="s">
        <v>46</v>
      </c>
      <c r="F68" s="42" t="s">
        <v>863</v>
      </c>
      <c r="G68" s="75" t="s">
        <v>37</v>
      </c>
      <c r="H68" s="42" t="s">
        <v>1743</v>
      </c>
      <c r="I68" s="42" t="s">
        <v>864</v>
      </c>
      <c r="J68" s="43" t="s">
        <v>553</v>
      </c>
      <c r="K68" s="8" t="str">
        <f t="shared" si="2"/>
        <v>128-36-00</v>
      </c>
      <c r="L68" s="44" t="s">
        <v>706</v>
      </c>
      <c r="M68" s="8" t="str">
        <f t="shared" si="1"/>
        <v>36-18-22</v>
      </c>
      <c r="N68" s="45">
        <v>43083</v>
      </c>
      <c r="O68" s="42" t="s">
        <v>38</v>
      </c>
      <c r="P68" s="46">
        <v>55.012999999999998</v>
      </c>
      <c r="Q68" s="46">
        <v>63.383000000000003</v>
      </c>
      <c r="R68" s="85">
        <v>8</v>
      </c>
      <c r="S68" s="41" t="str">
        <f>IF(COUNTA(#REF!)=1,"유","무")</f>
        <v>유</v>
      </c>
      <c r="T68" s="86">
        <v>158.51</v>
      </c>
      <c r="U68" s="86">
        <v>0.73899999999999999</v>
      </c>
      <c r="V68" s="42" t="s">
        <v>39</v>
      </c>
    </row>
    <row r="69" spans="1:22" ht="27" customHeight="1" x14ac:dyDescent="0.15">
      <c r="A69" s="145">
        <v>63</v>
      </c>
      <c r="B69" s="42">
        <v>2008630</v>
      </c>
      <c r="C69" s="42" t="s">
        <v>373</v>
      </c>
      <c r="D69" s="42" t="s">
        <v>1526</v>
      </c>
      <c r="E69" s="42" t="s">
        <v>46</v>
      </c>
      <c r="F69" s="42" t="s">
        <v>83</v>
      </c>
      <c r="G69" s="75" t="s">
        <v>37</v>
      </c>
      <c r="H69" s="42" t="s">
        <v>40</v>
      </c>
      <c r="I69" s="42" t="s">
        <v>866</v>
      </c>
      <c r="J69" s="43" t="s">
        <v>554</v>
      </c>
      <c r="K69" s="8" t="str">
        <f t="shared" si="2"/>
        <v>128-40-20</v>
      </c>
      <c r="L69" s="44" t="s">
        <v>707</v>
      </c>
      <c r="M69" s="8" t="str">
        <f t="shared" si="1"/>
        <v>36-10-54</v>
      </c>
      <c r="N69" s="45">
        <v>30138</v>
      </c>
      <c r="O69" s="42" t="s">
        <v>38</v>
      </c>
      <c r="P69" s="46">
        <v>102.297</v>
      </c>
      <c r="Q69" s="46">
        <v>110.227</v>
      </c>
      <c r="R69" s="85">
        <v>7</v>
      </c>
      <c r="S69" s="41" t="str">
        <f>IF(COUNTA(#REF!)=1,"유","무")</f>
        <v>유</v>
      </c>
      <c r="T69" s="86">
        <v>171.66</v>
      </c>
      <c r="U69" s="86">
        <v>83.37</v>
      </c>
      <c r="V69" s="42" t="s">
        <v>39</v>
      </c>
    </row>
    <row r="70" spans="1:22" ht="27" customHeight="1" x14ac:dyDescent="0.15">
      <c r="A70" s="145">
        <v>64</v>
      </c>
      <c r="B70" s="42">
        <v>2008631</v>
      </c>
      <c r="C70" s="42" t="s">
        <v>374</v>
      </c>
      <c r="D70" s="42" t="s">
        <v>1527</v>
      </c>
      <c r="E70" s="42" t="s">
        <v>46</v>
      </c>
      <c r="F70" s="42" t="s">
        <v>868</v>
      </c>
      <c r="G70" s="75" t="s">
        <v>37</v>
      </c>
      <c r="H70" s="42" t="s">
        <v>1670</v>
      </c>
      <c r="I70" s="42" t="s">
        <v>869</v>
      </c>
      <c r="J70" s="43" t="s">
        <v>555</v>
      </c>
      <c r="K70" s="8" t="str">
        <f t="shared" si="2"/>
        <v>128-36-32</v>
      </c>
      <c r="L70" s="44" t="s">
        <v>708</v>
      </c>
      <c r="M70" s="8" t="str">
        <f t="shared" si="1"/>
        <v>36-17-24</v>
      </c>
      <c r="N70" s="45">
        <v>40909</v>
      </c>
      <c r="O70" s="42" t="s">
        <v>38</v>
      </c>
      <c r="P70" s="46">
        <v>58.119</v>
      </c>
      <c r="Q70" s="46">
        <v>65.766000000000005</v>
      </c>
      <c r="R70" s="85">
        <v>9</v>
      </c>
      <c r="S70" s="41" t="str">
        <f>IF(COUNTA(#REF!)=1,"유","무")</f>
        <v>유</v>
      </c>
      <c r="T70" s="86">
        <v>183.26</v>
      </c>
      <c r="U70" s="86">
        <v>11.04</v>
      </c>
      <c r="V70" s="42" t="s">
        <v>43</v>
      </c>
    </row>
    <row r="71" spans="1:22" ht="27" customHeight="1" x14ac:dyDescent="0.15">
      <c r="A71" s="145">
        <v>65</v>
      </c>
      <c r="B71" s="42">
        <v>2008632</v>
      </c>
      <c r="C71" s="42" t="s">
        <v>375</v>
      </c>
      <c r="D71" s="42" t="s">
        <v>1528</v>
      </c>
      <c r="E71" s="42" t="s">
        <v>46</v>
      </c>
      <c r="F71" s="42" t="s">
        <v>83</v>
      </c>
      <c r="G71" s="75" t="s">
        <v>507</v>
      </c>
      <c r="H71" s="42" t="s">
        <v>1746</v>
      </c>
      <c r="I71" s="42" t="s">
        <v>871</v>
      </c>
      <c r="J71" s="43" t="s">
        <v>556</v>
      </c>
      <c r="K71" s="8" t="str">
        <f t="shared" si="2"/>
        <v>128-29-18</v>
      </c>
      <c r="L71" s="44" t="s">
        <v>709</v>
      </c>
      <c r="M71" s="8" t="str">
        <f t="shared" si="1"/>
        <v>36-20-07</v>
      </c>
      <c r="N71" s="45">
        <v>40179</v>
      </c>
      <c r="O71" s="42" t="s">
        <v>38</v>
      </c>
      <c r="P71" s="46">
        <v>44.741</v>
      </c>
      <c r="Q71" s="46">
        <v>56.401000000000003</v>
      </c>
      <c r="R71" s="85">
        <v>10</v>
      </c>
      <c r="S71" s="41" t="str">
        <f>IF(COUNTA(#REF!)=1,"유","무")</f>
        <v>유</v>
      </c>
      <c r="T71" s="86">
        <v>1212.02</v>
      </c>
      <c r="U71" s="86">
        <v>25.05</v>
      </c>
      <c r="V71" s="42" t="s">
        <v>39</v>
      </c>
    </row>
    <row r="72" spans="1:22" ht="27" customHeight="1" x14ac:dyDescent="0.15">
      <c r="A72" s="145">
        <v>66</v>
      </c>
      <c r="B72" s="42">
        <v>2008633</v>
      </c>
      <c r="C72" s="42" t="s">
        <v>1301</v>
      </c>
      <c r="D72" s="42" t="s">
        <v>1529</v>
      </c>
      <c r="E72" s="42" t="s">
        <v>46</v>
      </c>
      <c r="F72" s="42" t="s">
        <v>83</v>
      </c>
      <c r="G72" s="75" t="s">
        <v>507</v>
      </c>
      <c r="H72" s="42" t="s">
        <v>82</v>
      </c>
      <c r="I72" s="42" t="s">
        <v>1346</v>
      </c>
      <c r="J72" s="43" t="s">
        <v>1316</v>
      </c>
      <c r="K72" s="8" t="str">
        <f t="shared" si="2"/>
        <v>128-31-15</v>
      </c>
      <c r="L72" s="44" t="s">
        <v>1317</v>
      </c>
      <c r="M72" s="8" t="str">
        <f t="shared" si="1"/>
        <v>36-19-41</v>
      </c>
      <c r="N72" s="45">
        <v>44470</v>
      </c>
      <c r="O72" s="42" t="s">
        <v>38</v>
      </c>
      <c r="P72" s="46">
        <v>45.252000000000002</v>
      </c>
      <c r="Q72" s="46">
        <v>59.039000000000001</v>
      </c>
      <c r="R72" s="85">
        <v>9.9</v>
      </c>
      <c r="S72" s="41" t="str">
        <f>IF(COUNTA(#REF!)=1,"유","무")</f>
        <v>유</v>
      </c>
      <c r="T72" s="86">
        <v>1191.99</v>
      </c>
      <c r="U72" s="86">
        <v>28.4</v>
      </c>
      <c r="V72" s="42" t="s">
        <v>52</v>
      </c>
    </row>
    <row r="73" spans="1:22" ht="27" customHeight="1" x14ac:dyDescent="0.15">
      <c r="A73" s="145">
        <v>67</v>
      </c>
      <c r="B73" s="42">
        <v>2008635</v>
      </c>
      <c r="C73" s="42" t="s">
        <v>376</v>
      </c>
      <c r="D73" s="42" t="s">
        <v>1530</v>
      </c>
      <c r="E73" s="42" t="s">
        <v>46</v>
      </c>
      <c r="F73" s="42" t="s">
        <v>83</v>
      </c>
      <c r="G73" s="75" t="s">
        <v>507</v>
      </c>
      <c r="H73" s="42" t="s">
        <v>1747</v>
      </c>
      <c r="I73" s="42" t="s">
        <v>246</v>
      </c>
      <c r="J73" s="43" t="s">
        <v>557</v>
      </c>
      <c r="K73" s="8" t="str">
        <f t="shared" si="2"/>
        <v>128-35-08</v>
      </c>
      <c r="L73" s="44" t="s">
        <v>710</v>
      </c>
      <c r="M73" s="8" t="str">
        <f t="shared" si="1"/>
        <v>36-10-37</v>
      </c>
      <c r="N73" s="45">
        <v>30141</v>
      </c>
      <c r="O73" s="42" t="s">
        <v>38</v>
      </c>
      <c r="P73" s="46">
        <v>85.034999999999997</v>
      </c>
      <c r="Q73" s="46">
        <v>92.126999999999995</v>
      </c>
      <c r="R73" s="85">
        <v>5</v>
      </c>
      <c r="S73" s="41" t="str">
        <f>IF(COUNTA(#REF!)=1,"유","무")</f>
        <v>유</v>
      </c>
      <c r="T73" s="86">
        <v>303.06</v>
      </c>
      <c r="U73" s="86">
        <v>74.08</v>
      </c>
      <c r="V73" s="42" t="s">
        <v>39</v>
      </c>
    </row>
    <row r="74" spans="1:22" ht="27" customHeight="1" x14ac:dyDescent="0.15">
      <c r="A74" s="145">
        <v>68</v>
      </c>
      <c r="B74" s="42">
        <v>2008645</v>
      </c>
      <c r="C74" s="42" t="s">
        <v>377</v>
      </c>
      <c r="D74" s="42" t="s">
        <v>1531</v>
      </c>
      <c r="E74" s="42" t="s">
        <v>46</v>
      </c>
      <c r="F74" s="42" t="s">
        <v>86</v>
      </c>
      <c r="G74" s="75" t="s">
        <v>37</v>
      </c>
      <c r="H74" s="42" t="s">
        <v>1748</v>
      </c>
      <c r="I74" s="42" t="s">
        <v>247</v>
      </c>
      <c r="J74" s="43" t="s">
        <v>558</v>
      </c>
      <c r="K74" s="8" t="str">
        <f t="shared" si="2"/>
        <v>128-35-02</v>
      </c>
      <c r="L74" s="44" t="s">
        <v>711</v>
      </c>
      <c r="M74" s="8" t="str">
        <f t="shared" si="1"/>
        <v>36-09-20</v>
      </c>
      <c r="N74" s="45">
        <v>30195</v>
      </c>
      <c r="O74" s="42" t="s">
        <v>38</v>
      </c>
      <c r="P74" s="46">
        <v>93.489000000000004</v>
      </c>
      <c r="Q74" s="46">
        <v>99.655000000000001</v>
      </c>
      <c r="R74" s="85">
        <v>6</v>
      </c>
      <c r="S74" s="41" t="str">
        <f>IF(COUNTA(#REF!)=1,"유","무")</f>
        <v>유</v>
      </c>
      <c r="T74" s="86">
        <v>150.68</v>
      </c>
      <c r="U74" s="86">
        <v>3.67</v>
      </c>
      <c r="V74" s="42" t="s">
        <v>39</v>
      </c>
    </row>
    <row r="75" spans="1:22" ht="27" customHeight="1" x14ac:dyDescent="0.15">
      <c r="A75" s="145">
        <v>69</v>
      </c>
      <c r="B75" s="42">
        <v>2008650</v>
      </c>
      <c r="C75" s="42" t="s">
        <v>378</v>
      </c>
      <c r="D75" s="42" t="s">
        <v>1532</v>
      </c>
      <c r="E75" s="42" t="s">
        <v>46</v>
      </c>
      <c r="F75" s="42" t="s">
        <v>83</v>
      </c>
      <c r="G75" s="75" t="s">
        <v>37</v>
      </c>
      <c r="H75" s="42" t="s">
        <v>1359</v>
      </c>
      <c r="I75" s="42" t="s">
        <v>1256</v>
      </c>
      <c r="J75" s="43" t="s">
        <v>559</v>
      </c>
      <c r="K75" s="8" t="str">
        <f t="shared" si="2"/>
        <v>128-33-51</v>
      </c>
      <c r="L75" s="44" t="s">
        <v>712</v>
      </c>
      <c r="M75" s="8" t="str">
        <f t="shared" si="1"/>
        <v>36-11-38</v>
      </c>
      <c r="N75" s="45">
        <v>30140</v>
      </c>
      <c r="O75" s="42" t="s">
        <v>38</v>
      </c>
      <c r="P75" s="46">
        <v>80.256</v>
      </c>
      <c r="Q75" s="46">
        <v>87.766000000000005</v>
      </c>
      <c r="R75" s="85">
        <v>7</v>
      </c>
      <c r="S75" s="41" t="str">
        <f>IF(COUNTA(#REF!)=1,"유","무")</f>
        <v>유</v>
      </c>
      <c r="T75" s="86">
        <v>472.69</v>
      </c>
      <c r="U75" s="86">
        <v>71.180000000000007</v>
      </c>
      <c r="V75" s="42" t="s">
        <v>39</v>
      </c>
    </row>
    <row r="76" spans="1:22" s="23" customFormat="1" ht="27" customHeight="1" x14ac:dyDescent="0.15">
      <c r="A76" s="145">
        <v>70</v>
      </c>
      <c r="B76" s="41">
        <v>2008653</v>
      </c>
      <c r="C76" s="41" t="s">
        <v>1453</v>
      </c>
      <c r="D76" s="41" t="s">
        <v>1533</v>
      </c>
      <c r="E76" s="8" t="s">
        <v>46</v>
      </c>
      <c r="F76" s="42" t="s">
        <v>1404</v>
      </c>
      <c r="G76" s="75" t="s">
        <v>37</v>
      </c>
      <c r="H76" s="42" t="s">
        <v>1744</v>
      </c>
      <c r="I76" s="42" t="s">
        <v>2295</v>
      </c>
      <c r="J76" s="8" t="s">
        <v>1383</v>
      </c>
      <c r="K76" s="8" t="str">
        <f>LEFT(TRIM(J76),7)&amp;TEXT(ROUND(RIGHT(TRIM(J76),LEN(TRIM(J76))-7),0),"00")</f>
        <v>128-33-41</v>
      </c>
      <c r="L76" s="8" t="s">
        <v>1392</v>
      </c>
      <c r="M76" s="8" t="str">
        <f>LEFT(TRIM(L76),6)&amp;TEXT(ROUND(RIGHT(TRIM(L76),LEN(TRIM(L76))-6),0),"00")</f>
        <v>36-14-24</v>
      </c>
      <c r="N76" s="45">
        <v>44935</v>
      </c>
      <c r="O76" s="42" t="s">
        <v>1455</v>
      </c>
      <c r="P76" s="48">
        <v>72.816000000000003</v>
      </c>
      <c r="Q76" s="49">
        <v>82.465000000000003</v>
      </c>
      <c r="R76" s="50">
        <v>8</v>
      </c>
      <c r="S76" s="41" t="str">
        <f>IF(COUNTA(#REF!)=1,"유","무")</f>
        <v>유</v>
      </c>
      <c r="T76" s="51">
        <v>495.32900000000001</v>
      </c>
      <c r="U76" s="51">
        <v>67.948999999999998</v>
      </c>
      <c r="V76" s="41" t="s">
        <v>1460</v>
      </c>
    </row>
    <row r="77" spans="1:22" s="23" customFormat="1" ht="27" customHeight="1" x14ac:dyDescent="0.15">
      <c r="A77" s="145">
        <v>71</v>
      </c>
      <c r="B77" s="41">
        <v>2008659</v>
      </c>
      <c r="C77" s="41" t="s">
        <v>1368</v>
      </c>
      <c r="D77" s="41" t="s">
        <v>1534</v>
      </c>
      <c r="E77" s="8" t="s">
        <v>46</v>
      </c>
      <c r="F77" s="42" t="s">
        <v>1404</v>
      </c>
      <c r="G77" s="75" t="s">
        <v>37</v>
      </c>
      <c r="H77" s="42" t="s">
        <v>87</v>
      </c>
      <c r="I77" s="42" t="s">
        <v>1377</v>
      </c>
      <c r="J77" s="8" t="s">
        <v>1382</v>
      </c>
      <c r="K77" s="8" t="str">
        <f>LEFT(TRIM(J77),7)&amp;TEXT(ROUND(RIGHT(TRIM(J77),LEN(TRIM(J77))-7),0),"00")</f>
        <v>128-28-23</v>
      </c>
      <c r="L77" s="8" t="s">
        <v>1391</v>
      </c>
      <c r="M77" s="8" t="str">
        <f>LEFT(TRIM(L77),6)&amp;TEXT(ROUND(RIGHT(TRIM(L77),LEN(TRIM(L77))-6),0),"00")</f>
        <v>36-16-23</v>
      </c>
      <c r="N77" s="45">
        <v>44935</v>
      </c>
      <c r="O77" s="42" t="s">
        <v>1455</v>
      </c>
      <c r="P77" s="48">
        <v>54.908999999999999</v>
      </c>
      <c r="Q77" s="49">
        <v>67.602000000000004</v>
      </c>
      <c r="R77" s="50">
        <v>8</v>
      </c>
      <c r="S77" s="41" t="str">
        <f>IF(COUNTA(#REF!)=1,"유","무")</f>
        <v>유</v>
      </c>
      <c r="T77" s="51">
        <v>577.18299999999999</v>
      </c>
      <c r="U77" s="51">
        <v>45.725000000000001</v>
      </c>
      <c r="V77" s="41" t="s">
        <v>1460</v>
      </c>
    </row>
    <row r="78" spans="1:22" ht="27" customHeight="1" x14ac:dyDescent="0.15">
      <c r="A78" s="145">
        <v>72</v>
      </c>
      <c r="B78" s="42">
        <v>2008665</v>
      </c>
      <c r="C78" s="42" t="s">
        <v>379</v>
      </c>
      <c r="D78" s="42" t="s">
        <v>1535</v>
      </c>
      <c r="E78" s="42" t="s">
        <v>46</v>
      </c>
      <c r="F78" s="42" t="s">
        <v>83</v>
      </c>
      <c r="G78" s="75" t="s">
        <v>37</v>
      </c>
      <c r="H78" s="42" t="s">
        <v>1742</v>
      </c>
      <c r="I78" s="42" t="s">
        <v>248</v>
      </c>
      <c r="J78" s="43" t="s">
        <v>560</v>
      </c>
      <c r="K78" s="8" t="str">
        <f t="shared" si="2"/>
        <v>128-29-59</v>
      </c>
      <c r="L78" s="44" t="s">
        <v>713</v>
      </c>
      <c r="M78" s="8" t="str">
        <f t="shared" si="1"/>
        <v>36-19-28</v>
      </c>
      <c r="N78" s="45">
        <v>42370</v>
      </c>
      <c r="O78" s="42" t="s">
        <v>38</v>
      </c>
      <c r="P78" s="46">
        <v>48.414999999999999</v>
      </c>
      <c r="Q78" s="46">
        <v>58.44</v>
      </c>
      <c r="R78" s="85">
        <v>6</v>
      </c>
      <c r="S78" s="41" t="str">
        <f>IF(COUNTA(#REF!)=1,"유","무")</f>
        <v>유</v>
      </c>
      <c r="T78" s="86">
        <v>683.59</v>
      </c>
      <c r="U78" s="86">
        <v>32.92</v>
      </c>
      <c r="V78" s="42" t="s">
        <v>39</v>
      </c>
    </row>
    <row r="79" spans="1:22" ht="27" customHeight="1" x14ac:dyDescent="0.15">
      <c r="A79" s="145">
        <v>73</v>
      </c>
      <c r="B79" s="42">
        <v>2008688</v>
      </c>
      <c r="C79" s="42" t="s">
        <v>1826</v>
      </c>
      <c r="D79" s="42" t="s">
        <v>1920</v>
      </c>
      <c r="E79" s="42" t="s">
        <v>46</v>
      </c>
      <c r="F79" s="42" t="s">
        <v>868</v>
      </c>
      <c r="G79" s="75" t="s">
        <v>507</v>
      </c>
      <c r="H79" s="42" t="s">
        <v>2299</v>
      </c>
      <c r="I79" s="42" t="s">
        <v>2268</v>
      </c>
      <c r="J79" s="8" t="s">
        <v>2075</v>
      </c>
      <c r="K79" s="8" t="str">
        <f>LEFT(TRIM(J79),7)&amp;TEXT(ROUND(RIGHT(TRIM(J79),LEN(TRIM(J79))-7),0),"00")</f>
        <v>128-37-44</v>
      </c>
      <c r="L79" s="8" t="s">
        <v>2170</v>
      </c>
      <c r="M79" s="8" t="str">
        <f>LEFT(TRIM(L79),6)&amp;TEXT(ROUND(RIGHT(TRIM(L79),LEN(TRIM(L79))-6),0),"00")</f>
        <v>36-16-40</v>
      </c>
      <c r="N79" s="45">
        <v>45658</v>
      </c>
      <c r="O79" s="42"/>
      <c r="P79" s="46">
        <v>64.486000000000004</v>
      </c>
      <c r="Q79" s="47">
        <v>73.543000000000006</v>
      </c>
      <c r="R79" s="85">
        <v>6</v>
      </c>
      <c r="S79" s="41" t="str">
        <f>IF(COUNTA(#REF!)=1,"유","무")</f>
        <v>유</v>
      </c>
      <c r="T79" s="86">
        <v>165.149</v>
      </c>
      <c r="U79" s="86">
        <v>14.242000000000001</v>
      </c>
      <c r="V79" s="42"/>
    </row>
    <row r="80" spans="1:22" ht="27" customHeight="1" x14ac:dyDescent="0.15">
      <c r="A80" s="145">
        <v>74</v>
      </c>
      <c r="B80" s="42">
        <v>2008690</v>
      </c>
      <c r="C80" s="42" t="s">
        <v>1300</v>
      </c>
      <c r="D80" s="42" t="s">
        <v>1536</v>
      </c>
      <c r="E80" s="42" t="s">
        <v>46</v>
      </c>
      <c r="F80" s="42" t="s">
        <v>83</v>
      </c>
      <c r="G80" s="75" t="s">
        <v>37</v>
      </c>
      <c r="H80" s="42" t="s">
        <v>40</v>
      </c>
      <c r="I80" s="42" t="s">
        <v>511</v>
      </c>
      <c r="J80" s="43" t="s">
        <v>561</v>
      </c>
      <c r="K80" s="8" t="str">
        <f t="shared" si="2"/>
        <v>128-23-49</v>
      </c>
      <c r="L80" s="44" t="s">
        <v>714</v>
      </c>
      <c r="M80" s="8" t="str">
        <f t="shared" si="1"/>
        <v>36-21-35</v>
      </c>
      <c r="N80" s="45">
        <v>24077</v>
      </c>
      <c r="O80" s="42" t="s">
        <v>38</v>
      </c>
      <c r="P80" s="46">
        <v>39.026000000000003</v>
      </c>
      <c r="Q80" s="46">
        <v>52.415999999999997</v>
      </c>
      <c r="R80" s="85">
        <v>10</v>
      </c>
      <c r="S80" s="41" t="str">
        <f>IF(COUNTA(#REF!)=1,"유","무")</f>
        <v>유</v>
      </c>
      <c r="T80" s="86">
        <v>1312.19</v>
      </c>
      <c r="U80" s="86">
        <v>12.96</v>
      </c>
      <c r="V80" s="42" t="s">
        <v>43</v>
      </c>
    </row>
    <row r="81" spans="1:22" ht="27" customHeight="1" x14ac:dyDescent="0.15">
      <c r="A81" s="145">
        <v>75</v>
      </c>
      <c r="B81" s="42">
        <v>2009618</v>
      </c>
      <c r="C81" s="42" t="s">
        <v>381</v>
      </c>
      <c r="D81" s="42" t="s">
        <v>1537</v>
      </c>
      <c r="E81" s="42" t="s">
        <v>46</v>
      </c>
      <c r="F81" s="42" t="s">
        <v>46</v>
      </c>
      <c r="G81" s="75" t="s">
        <v>507</v>
      </c>
      <c r="H81" s="42" t="s">
        <v>98</v>
      </c>
      <c r="I81" s="42" t="s">
        <v>873</v>
      </c>
      <c r="J81" s="43" t="s">
        <v>562</v>
      </c>
      <c r="K81" s="8" t="str">
        <f t="shared" si="2"/>
        <v>128-18-31</v>
      </c>
      <c r="L81" s="44" t="s">
        <v>715</v>
      </c>
      <c r="M81" s="8" t="str">
        <f t="shared" si="1"/>
        <v>36-21-35</v>
      </c>
      <c r="N81" s="45">
        <v>40329</v>
      </c>
      <c r="O81" s="42" t="s">
        <v>38</v>
      </c>
      <c r="P81" s="46">
        <v>0</v>
      </c>
      <c r="Q81" s="46">
        <v>47.305999999999997</v>
      </c>
      <c r="R81" s="85">
        <v>43</v>
      </c>
      <c r="S81" s="41" t="str">
        <f>IF(COUNTA(#REF!)=1,"유","무")</f>
        <v>유</v>
      </c>
      <c r="T81" s="86">
        <v>9221</v>
      </c>
      <c r="U81" s="86">
        <v>238.791</v>
      </c>
      <c r="V81" s="42" t="s">
        <v>39</v>
      </c>
    </row>
    <row r="82" spans="1:22" ht="27" customHeight="1" x14ac:dyDescent="0.15">
      <c r="A82" s="145">
        <v>76</v>
      </c>
      <c r="B82" s="42">
        <v>2009620</v>
      </c>
      <c r="C82" s="42" t="s">
        <v>382</v>
      </c>
      <c r="D82" s="42" t="s">
        <v>1538</v>
      </c>
      <c r="E82" s="42" t="s">
        <v>46</v>
      </c>
      <c r="F82" s="42" t="s">
        <v>46</v>
      </c>
      <c r="G82" s="75" t="s">
        <v>37</v>
      </c>
      <c r="H82" s="42" t="s">
        <v>92</v>
      </c>
      <c r="I82" s="42" t="s">
        <v>249</v>
      </c>
      <c r="J82" s="43" t="s">
        <v>563</v>
      </c>
      <c r="K82" s="8" t="str">
        <f t="shared" si="2"/>
        <v>128-18-04</v>
      </c>
      <c r="L82" s="44" t="s">
        <v>716</v>
      </c>
      <c r="M82" s="8" t="str">
        <f t="shared" si="1"/>
        <v>36-21-27</v>
      </c>
      <c r="N82" s="45">
        <v>8767</v>
      </c>
      <c r="O82" s="42" t="s">
        <v>38</v>
      </c>
      <c r="P82" s="46">
        <v>27.145</v>
      </c>
      <c r="Q82" s="46">
        <v>47.061999999999998</v>
      </c>
      <c r="R82" s="85">
        <v>11</v>
      </c>
      <c r="S82" s="41" t="str">
        <f>IF(COUNTA(#REF!)=1,"유","무")</f>
        <v>유</v>
      </c>
      <c r="T82" s="86">
        <v>9399.9699999999993</v>
      </c>
      <c r="U82" s="86">
        <v>238.12100000000001</v>
      </c>
      <c r="V82" s="42" t="s">
        <v>39</v>
      </c>
    </row>
    <row r="83" spans="1:22" ht="27" customHeight="1" x14ac:dyDescent="0.15">
      <c r="A83" s="145">
        <v>77</v>
      </c>
      <c r="B83" s="42">
        <v>2009670</v>
      </c>
      <c r="C83" s="42" t="s">
        <v>517</v>
      </c>
      <c r="D83" s="42" t="s">
        <v>1539</v>
      </c>
      <c r="E83" s="42" t="s">
        <v>46</v>
      </c>
      <c r="F83" s="42" t="s">
        <v>46</v>
      </c>
      <c r="G83" s="75" t="s">
        <v>37</v>
      </c>
      <c r="H83" s="42" t="s">
        <v>82</v>
      </c>
      <c r="I83" s="42" t="s">
        <v>250</v>
      </c>
      <c r="J83" s="43" t="s">
        <v>564</v>
      </c>
      <c r="K83" s="8" t="str">
        <f t="shared" si="2"/>
        <v>128-20-34</v>
      </c>
      <c r="L83" s="44" t="s">
        <v>717</v>
      </c>
      <c r="M83" s="8" t="str">
        <f t="shared" si="1"/>
        <v>36-16-23</v>
      </c>
      <c r="N83" s="45">
        <v>30133</v>
      </c>
      <c r="O83" s="42" t="s">
        <v>38</v>
      </c>
      <c r="P83" s="46">
        <v>30.788</v>
      </c>
      <c r="Q83" s="46">
        <v>40.869999999999997</v>
      </c>
      <c r="R83" s="85">
        <v>10</v>
      </c>
      <c r="S83" s="41" t="str">
        <f>IF(COUNTA(#REF!)=1,"유","무")</f>
        <v>유</v>
      </c>
      <c r="T83" s="86">
        <v>9532.76</v>
      </c>
      <c r="U83" s="86">
        <v>225.42099999999999</v>
      </c>
      <c r="V83" s="42" t="s">
        <v>926</v>
      </c>
    </row>
    <row r="84" spans="1:22" ht="27" customHeight="1" x14ac:dyDescent="0.15">
      <c r="A84" s="145">
        <v>78</v>
      </c>
      <c r="B84" s="42">
        <v>2009680</v>
      </c>
      <c r="C84" s="42" t="s">
        <v>874</v>
      </c>
      <c r="D84" s="42" t="s">
        <v>1540</v>
      </c>
      <c r="E84" s="42" t="s">
        <v>46</v>
      </c>
      <c r="F84" s="42" t="s">
        <v>46</v>
      </c>
      <c r="G84" s="75" t="s">
        <v>37</v>
      </c>
      <c r="H84" s="42" t="s">
        <v>508</v>
      </c>
      <c r="I84" s="42" t="s">
        <v>875</v>
      </c>
      <c r="J84" s="43" t="s">
        <v>565</v>
      </c>
      <c r="K84" s="8" t="str">
        <f t="shared" si="2"/>
        <v>128-20-31</v>
      </c>
      <c r="L84" s="44" t="s">
        <v>718</v>
      </c>
      <c r="M84" s="8" t="str">
        <f t="shared" si="1"/>
        <v>36-14-16</v>
      </c>
      <c r="N84" s="45">
        <v>40329</v>
      </c>
      <c r="O84" s="42" t="s">
        <v>38</v>
      </c>
      <c r="P84" s="46">
        <v>-5.0000000000000001E-3</v>
      </c>
      <c r="Q84" s="46">
        <v>34.091000000000001</v>
      </c>
      <c r="R84" s="85">
        <v>35</v>
      </c>
      <c r="S84" s="41" t="str">
        <f>IF(COUNTA(#REF!)=1,"유","무")</f>
        <v>유</v>
      </c>
      <c r="T84" s="86">
        <v>9557</v>
      </c>
      <c r="U84" s="86">
        <v>221.17099999999999</v>
      </c>
      <c r="V84" s="42" t="s">
        <v>43</v>
      </c>
    </row>
    <row r="85" spans="1:22" ht="27" customHeight="1" x14ac:dyDescent="0.15">
      <c r="A85" s="145">
        <v>79</v>
      </c>
      <c r="B85" s="42">
        <v>2009682</v>
      </c>
      <c r="C85" s="42" t="s">
        <v>383</v>
      </c>
      <c r="D85" s="42" t="s">
        <v>1541</v>
      </c>
      <c r="E85" s="42" t="s">
        <v>46</v>
      </c>
      <c r="F85" s="42" t="s">
        <v>46</v>
      </c>
      <c r="G85" s="75" t="s">
        <v>37</v>
      </c>
      <c r="H85" s="42" t="s">
        <v>508</v>
      </c>
      <c r="I85" s="42" t="s">
        <v>876</v>
      </c>
      <c r="J85" s="43" t="s">
        <v>566</v>
      </c>
      <c r="K85" s="8" t="str">
        <f t="shared" si="2"/>
        <v>128-20-53</v>
      </c>
      <c r="L85" s="44" t="s">
        <v>719</v>
      </c>
      <c r="M85" s="8" t="str">
        <f t="shared" si="1"/>
        <v>36-14-12</v>
      </c>
      <c r="N85" s="45">
        <v>40329</v>
      </c>
      <c r="O85" s="42" t="s">
        <v>38</v>
      </c>
      <c r="P85" s="46">
        <v>0</v>
      </c>
      <c r="Q85" s="46">
        <v>33</v>
      </c>
      <c r="R85" s="85">
        <v>30</v>
      </c>
      <c r="S85" s="41" t="str">
        <f>IF(COUNTA(#REF!)=1,"유","무")</f>
        <v>유</v>
      </c>
      <c r="T85" s="86">
        <v>9557</v>
      </c>
      <c r="U85" s="86">
        <v>220.86099999999999</v>
      </c>
      <c r="V85" s="42" t="s">
        <v>39</v>
      </c>
    </row>
    <row r="86" spans="1:22" ht="27" customHeight="1" x14ac:dyDescent="0.15">
      <c r="A86" s="145">
        <v>80</v>
      </c>
      <c r="B86" s="42">
        <v>2010635</v>
      </c>
      <c r="C86" s="42" t="s">
        <v>384</v>
      </c>
      <c r="D86" s="42" t="s">
        <v>1542</v>
      </c>
      <c r="E86" s="42" t="s">
        <v>46</v>
      </c>
      <c r="F86" s="42" t="s">
        <v>96</v>
      </c>
      <c r="G86" s="75" t="s">
        <v>507</v>
      </c>
      <c r="H86" s="42" t="s">
        <v>1745</v>
      </c>
      <c r="I86" s="42" t="s">
        <v>251</v>
      </c>
      <c r="J86" s="43" t="s">
        <v>567</v>
      </c>
      <c r="K86" s="8" t="str">
        <f t="shared" si="2"/>
        <v>128-02-28</v>
      </c>
      <c r="L86" s="44" t="s">
        <v>720</v>
      </c>
      <c r="M86" s="8" t="str">
        <f t="shared" si="1"/>
        <v>36-01-32</v>
      </c>
      <c r="N86" s="45">
        <v>40909</v>
      </c>
      <c r="O86" s="42" t="s">
        <v>38</v>
      </c>
      <c r="P86" s="46">
        <v>106.53700000000001</v>
      </c>
      <c r="Q86" s="46">
        <v>115.125</v>
      </c>
      <c r="R86" s="85">
        <v>6</v>
      </c>
      <c r="S86" s="41" t="str">
        <f>IF(COUNTA(#REF!)=1,"유","무")</f>
        <v>유</v>
      </c>
      <c r="T86" s="86">
        <v>255.44</v>
      </c>
      <c r="U86" s="86">
        <v>47.59</v>
      </c>
      <c r="V86" s="42" t="s">
        <v>39</v>
      </c>
    </row>
    <row r="87" spans="1:22" s="23" customFormat="1" ht="27" customHeight="1" x14ac:dyDescent="0.15">
      <c r="A87" s="145">
        <v>81</v>
      </c>
      <c r="B87" s="147">
        <v>2010640</v>
      </c>
      <c r="C87" s="41" t="s">
        <v>1370</v>
      </c>
      <c r="D87" s="41" t="s">
        <v>1543</v>
      </c>
      <c r="E87" s="42" t="s">
        <v>46</v>
      </c>
      <c r="F87" s="42" t="s">
        <v>1448</v>
      </c>
      <c r="G87" s="75" t="s">
        <v>37</v>
      </c>
      <c r="H87" s="42" t="s">
        <v>87</v>
      </c>
      <c r="I87" s="41" t="s">
        <v>1378</v>
      </c>
      <c r="J87" s="13" t="s">
        <v>1397</v>
      </c>
      <c r="K87" s="13" t="str">
        <f>LEFT(TRIM(J87),7)&amp;TEXT(ROUND(RIGHT(TRIM(J87),LEN(TRIM(J87))-7),0),"00")</f>
        <v>128-05-51</v>
      </c>
      <c r="L87" s="13" t="s">
        <v>1398</v>
      </c>
      <c r="M87" s="13" t="str">
        <f>LEFT(TRIM(L87),6)&amp;TEXT(ROUND(RIGHT(TRIM(L87),LEN(TRIM(L87))-6),0),"00")</f>
        <v>36-07-45</v>
      </c>
      <c r="N87" s="52">
        <v>44935</v>
      </c>
      <c r="O87" s="42" t="s">
        <v>38</v>
      </c>
      <c r="P87" s="48">
        <v>61.59</v>
      </c>
      <c r="Q87" s="49">
        <v>69.364000000000004</v>
      </c>
      <c r="R87" s="50">
        <v>8</v>
      </c>
      <c r="S87" s="41" t="str">
        <f>IF(COUNTA(#REF!)=1,"유","무")</f>
        <v>유</v>
      </c>
      <c r="T87" s="51">
        <v>108.348</v>
      </c>
      <c r="U87" s="51">
        <v>3.92</v>
      </c>
      <c r="V87" s="41" t="s">
        <v>1460</v>
      </c>
    </row>
    <row r="88" spans="1:22" ht="27" customHeight="1" x14ac:dyDescent="0.15">
      <c r="A88" s="145">
        <v>82</v>
      </c>
      <c r="B88" s="42">
        <v>2010645</v>
      </c>
      <c r="C88" s="42" t="s">
        <v>1831</v>
      </c>
      <c r="D88" s="42" t="s">
        <v>1925</v>
      </c>
      <c r="E88" s="42" t="s">
        <v>46</v>
      </c>
      <c r="F88" s="42" t="s">
        <v>1998</v>
      </c>
      <c r="G88" s="75" t="s">
        <v>37</v>
      </c>
      <c r="H88" s="42" t="s">
        <v>2299</v>
      </c>
      <c r="I88" s="42" t="s">
        <v>2272</v>
      </c>
      <c r="J88" s="8" t="s">
        <v>2080</v>
      </c>
      <c r="K88" s="8" t="str">
        <f>LEFT(TRIM(J88),7)&amp;TEXT(ROUND(RIGHT(TRIM(J88),LEN(TRIM(J88))-7),0),"00")</f>
        <v>128-09-56</v>
      </c>
      <c r="L88" s="8" t="s">
        <v>2175</v>
      </c>
      <c r="M88" s="8" t="str">
        <f>LEFT(TRIM(L88),6)&amp;TEXT(ROUND(RIGHT(TRIM(L88),LEN(TRIM(L88))-6),0),"00")</f>
        <v>36-09-43</v>
      </c>
      <c r="N88" s="45">
        <v>45658</v>
      </c>
      <c r="O88" s="42"/>
      <c r="P88" s="46">
        <v>54.027999999999999</v>
      </c>
      <c r="Q88" s="47">
        <v>61.264000000000003</v>
      </c>
      <c r="R88" s="85">
        <v>6</v>
      </c>
      <c r="S88" s="41" t="str">
        <f>IF(COUNTA(#REF!)=1,"유","무")</f>
        <v>유</v>
      </c>
      <c r="T88" s="86">
        <v>91.128</v>
      </c>
      <c r="U88" s="86">
        <v>1.8979999999999999</v>
      </c>
      <c r="V88" s="42"/>
    </row>
    <row r="89" spans="1:22" ht="27" customHeight="1" x14ac:dyDescent="0.15">
      <c r="A89" s="145">
        <v>83</v>
      </c>
      <c r="B89" s="42">
        <v>2010650</v>
      </c>
      <c r="C89" s="42" t="s">
        <v>385</v>
      </c>
      <c r="D89" s="42" t="s">
        <v>1544</v>
      </c>
      <c r="E89" s="42" t="s">
        <v>46</v>
      </c>
      <c r="F89" s="42" t="s">
        <v>96</v>
      </c>
      <c r="G89" s="75" t="s">
        <v>37</v>
      </c>
      <c r="H89" s="42" t="s">
        <v>98</v>
      </c>
      <c r="I89" s="42" t="s">
        <v>1304</v>
      </c>
      <c r="J89" s="43" t="s">
        <v>568</v>
      </c>
      <c r="K89" s="8" t="str">
        <f t="shared" si="2"/>
        <v>128-07-50</v>
      </c>
      <c r="L89" s="44" t="s">
        <v>721</v>
      </c>
      <c r="M89" s="8" t="str">
        <f t="shared" si="1"/>
        <v>36-07-09</v>
      </c>
      <c r="N89" s="45">
        <v>15615</v>
      </c>
      <c r="O89" s="42" t="s">
        <v>38</v>
      </c>
      <c r="P89" s="46">
        <v>58.902999999999999</v>
      </c>
      <c r="Q89" s="46">
        <v>66.334000000000003</v>
      </c>
      <c r="R89" s="85">
        <v>5</v>
      </c>
      <c r="S89" s="41" t="str">
        <f>IF(COUNTA(#REF!)=1,"유","무")</f>
        <v>유</v>
      </c>
      <c r="T89" s="86">
        <v>456.4</v>
      </c>
      <c r="U89" s="86">
        <v>29.37</v>
      </c>
      <c r="V89" s="42" t="s">
        <v>39</v>
      </c>
    </row>
    <row r="90" spans="1:22" ht="27" customHeight="1" x14ac:dyDescent="0.15">
      <c r="A90" s="145">
        <v>84</v>
      </c>
      <c r="B90" s="42">
        <v>2010654</v>
      </c>
      <c r="C90" s="42" t="s">
        <v>1765</v>
      </c>
      <c r="D90" s="42" t="s">
        <v>1860</v>
      </c>
      <c r="E90" s="42" t="s">
        <v>46</v>
      </c>
      <c r="F90" s="42" t="s">
        <v>1952</v>
      </c>
      <c r="G90" s="75" t="s">
        <v>37</v>
      </c>
      <c r="H90" s="42" t="s">
        <v>2296</v>
      </c>
      <c r="I90" s="42" t="s">
        <v>2207</v>
      </c>
      <c r="J90" s="8" t="s">
        <v>2014</v>
      </c>
      <c r="K90" s="8" t="str">
        <f>LEFT(TRIM(J90),7)&amp;TEXT(ROUND(RIGHT(TRIM(J90),LEN(TRIM(J90))-7),0),"00")</f>
        <v>128-10-41</v>
      </c>
      <c r="L90" s="8" t="s">
        <v>2109</v>
      </c>
      <c r="M90" s="8" t="str">
        <f>LEFT(TRIM(L90),6)&amp;TEXT(ROUND(RIGHT(TRIM(L90),LEN(TRIM(L90))-6),0),"00")</f>
        <v>36-07-15</v>
      </c>
      <c r="N90" s="45">
        <v>45658</v>
      </c>
      <c r="O90" s="42"/>
      <c r="P90" s="46">
        <v>60.189</v>
      </c>
      <c r="Q90" s="47">
        <v>66.52</v>
      </c>
      <c r="R90" s="85">
        <v>7</v>
      </c>
      <c r="S90" s="41" t="str">
        <f>IF(COUNTA(#REF!)=1,"유","무")</f>
        <v>유</v>
      </c>
      <c r="T90" s="86">
        <v>56.491</v>
      </c>
      <c r="U90" s="86">
        <v>3.407</v>
      </c>
      <c r="V90" s="42"/>
    </row>
    <row r="91" spans="1:22" ht="27" customHeight="1" x14ac:dyDescent="0.15">
      <c r="A91" s="145">
        <v>85</v>
      </c>
      <c r="B91" s="42">
        <v>2010660</v>
      </c>
      <c r="C91" s="42" t="s">
        <v>386</v>
      </c>
      <c r="D91" s="42" t="s">
        <v>1545</v>
      </c>
      <c r="E91" s="42" t="s">
        <v>46</v>
      </c>
      <c r="F91" s="42" t="s">
        <v>96</v>
      </c>
      <c r="G91" s="75" t="s">
        <v>37</v>
      </c>
      <c r="H91" s="42" t="s">
        <v>40</v>
      </c>
      <c r="I91" s="42" t="s">
        <v>252</v>
      </c>
      <c r="J91" s="43" t="s">
        <v>569</v>
      </c>
      <c r="K91" s="8" t="str">
        <f t="shared" si="2"/>
        <v>128-11-35</v>
      </c>
      <c r="L91" s="44" t="s">
        <v>722</v>
      </c>
      <c r="M91" s="8" t="str">
        <f t="shared" si="1"/>
        <v>36-09-49</v>
      </c>
      <c r="N91" s="45">
        <v>40179</v>
      </c>
      <c r="O91" s="42" t="s">
        <v>38</v>
      </c>
      <c r="P91" s="46">
        <v>47.972000000000001</v>
      </c>
      <c r="Q91" s="46">
        <v>58.491999999999997</v>
      </c>
      <c r="R91" s="85">
        <v>10</v>
      </c>
      <c r="S91" s="41" t="str">
        <f>IF(COUNTA(#REF!)=1,"유","무")</f>
        <v>유</v>
      </c>
      <c r="T91" s="86">
        <v>771.98</v>
      </c>
      <c r="U91" s="86">
        <v>21.46</v>
      </c>
      <c r="V91" s="42" t="s">
        <v>43</v>
      </c>
    </row>
    <row r="92" spans="1:22" ht="27" customHeight="1" x14ac:dyDescent="0.15">
      <c r="A92" s="145">
        <v>86</v>
      </c>
      <c r="B92" s="42">
        <v>2010690</v>
      </c>
      <c r="C92" s="42" t="s">
        <v>387</v>
      </c>
      <c r="D92" s="42" t="s">
        <v>1546</v>
      </c>
      <c r="E92" s="42" t="s">
        <v>46</v>
      </c>
      <c r="F92" s="42" t="s">
        <v>96</v>
      </c>
      <c r="G92" s="75" t="s">
        <v>37</v>
      </c>
      <c r="H92" s="42" t="s">
        <v>50</v>
      </c>
      <c r="I92" s="42" t="s">
        <v>253</v>
      </c>
      <c r="J92" s="43" t="s">
        <v>570</v>
      </c>
      <c r="K92" s="8" t="str">
        <f t="shared" si="2"/>
        <v>128-18-32</v>
      </c>
      <c r="L92" s="44" t="s">
        <v>723</v>
      </c>
      <c r="M92" s="8" t="str">
        <f t="shared" si="1"/>
        <v>36-13-41</v>
      </c>
      <c r="N92" s="45">
        <v>24077</v>
      </c>
      <c r="O92" s="42" t="s">
        <v>38</v>
      </c>
      <c r="P92" s="46">
        <v>31.424999999999997</v>
      </c>
      <c r="Q92" s="46">
        <v>42.466999999999999</v>
      </c>
      <c r="R92" s="85">
        <v>7</v>
      </c>
      <c r="S92" s="41" t="str">
        <f>IF(COUNTA(#REF!)=1,"유","무")</f>
        <v>유</v>
      </c>
      <c r="T92" s="86">
        <v>987.52</v>
      </c>
      <c r="U92" s="86">
        <v>4.43</v>
      </c>
      <c r="V92" s="42" t="s">
        <v>43</v>
      </c>
    </row>
    <row r="93" spans="1:22" ht="27" customHeight="1" x14ac:dyDescent="0.15">
      <c r="A93" s="145">
        <v>87</v>
      </c>
      <c r="B93" s="42">
        <v>2011620</v>
      </c>
      <c r="C93" s="42" t="s">
        <v>1830</v>
      </c>
      <c r="D93" s="42" t="s">
        <v>1924</v>
      </c>
      <c r="E93" s="42" t="s">
        <v>46</v>
      </c>
      <c r="F93" s="42" t="s">
        <v>72</v>
      </c>
      <c r="G93" s="75" t="s">
        <v>37</v>
      </c>
      <c r="H93" s="42" t="s">
        <v>2299</v>
      </c>
      <c r="I93" s="42" t="s">
        <v>2271</v>
      </c>
      <c r="J93" s="8" t="s">
        <v>2079</v>
      </c>
      <c r="K93" s="8" t="str">
        <f>LEFT(TRIM(J93),7)&amp;TEXT(ROUND(RIGHT(TRIM(J93),LEN(TRIM(J93))-7),0),"00")</f>
        <v>128-29-33</v>
      </c>
      <c r="L93" s="8" t="s">
        <v>2174</v>
      </c>
      <c r="M93" s="8" t="str">
        <f>LEFT(TRIM(L93),6)&amp;TEXT(ROUND(RIGHT(TRIM(L93),LEN(TRIM(L93))-6),0),"00")</f>
        <v>36-07-32</v>
      </c>
      <c r="N93" s="45">
        <v>45658</v>
      </c>
      <c r="O93" s="42"/>
      <c r="P93" s="46">
        <v>44.640999999999998</v>
      </c>
      <c r="Q93" s="47">
        <v>51.709000000000003</v>
      </c>
      <c r="R93" s="85">
        <v>6</v>
      </c>
      <c r="S93" s="41" t="str">
        <f>IF(COUNTA(#REF!)=1,"유","무")</f>
        <v>유</v>
      </c>
      <c r="T93" s="86">
        <v>50.238</v>
      </c>
      <c r="U93" s="86">
        <v>0.87</v>
      </c>
      <c r="V93" s="42"/>
    </row>
    <row r="94" spans="1:22" ht="27" customHeight="1" x14ac:dyDescent="0.15">
      <c r="A94" s="145">
        <v>88</v>
      </c>
      <c r="B94" s="42">
        <v>2011625</v>
      </c>
      <c r="C94" s="42" t="s">
        <v>388</v>
      </c>
      <c r="D94" s="42" t="s">
        <v>1547</v>
      </c>
      <c r="E94" s="42" t="s">
        <v>46</v>
      </c>
      <c r="F94" s="42" t="s">
        <v>72</v>
      </c>
      <c r="G94" s="75" t="s">
        <v>37</v>
      </c>
      <c r="H94" s="42" t="s">
        <v>928</v>
      </c>
      <c r="I94" s="42" t="s">
        <v>877</v>
      </c>
      <c r="J94" s="43" t="s">
        <v>571</v>
      </c>
      <c r="K94" s="8" t="str">
        <f t="shared" si="2"/>
        <v>128-25-44</v>
      </c>
      <c r="L94" s="44" t="s">
        <v>724</v>
      </c>
      <c r="M94" s="8" t="str">
        <f t="shared" si="1"/>
        <v>36-08-10</v>
      </c>
      <c r="N94" s="45">
        <v>42370</v>
      </c>
      <c r="O94" s="42" t="s">
        <v>38</v>
      </c>
      <c r="P94" s="46">
        <v>26.957000000000001</v>
      </c>
      <c r="Q94" s="46">
        <v>42.417000000000002</v>
      </c>
      <c r="R94" s="85">
        <v>10</v>
      </c>
      <c r="S94" s="41" t="str">
        <f>IF(COUNTA(#REF!)=1,"유","무")</f>
        <v>유</v>
      </c>
      <c r="T94" s="86">
        <v>136.26</v>
      </c>
      <c r="U94" s="86">
        <v>4.3600000000000003</v>
      </c>
      <c r="V94" s="42" t="s">
        <v>39</v>
      </c>
    </row>
    <row r="95" spans="1:22" ht="27" customHeight="1" x14ac:dyDescent="0.15">
      <c r="A95" s="145">
        <v>89</v>
      </c>
      <c r="B95" s="42">
        <v>2011631</v>
      </c>
      <c r="C95" s="42" t="s">
        <v>1764</v>
      </c>
      <c r="D95" s="42" t="s">
        <v>1859</v>
      </c>
      <c r="E95" s="42" t="s">
        <v>46</v>
      </c>
      <c r="F95" s="42" t="s">
        <v>1951</v>
      </c>
      <c r="G95" s="75" t="s">
        <v>507</v>
      </c>
      <c r="H95" s="42" t="s">
        <v>2296</v>
      </c>
      <c r="I95" s="42" t="s">
        <v>2206</v>
      </c>
      <c r="J95" s="8" t="s">
        <v>2013</v>
      </c>
      <c r="K95" s="8" t="str">
        <f>LEFT(TRIM(J95),7)&amp;TEXT(ROUND(RIGHT(TRIM(J95),LEN(TRIM(J95))-7),0),"00")</f>
        <v>128-19-59</v>
      </c>
      <c r="L95" s="8" t="s">
        <v>2108</v>
      </c>
      <c r="M95" s="8" t="str">
        <f>LEFT(TRIM(L95),6)&amp;TEXT(ROUND(RIGHT(TRIM(L95),LEN(TRIM(L95))-6),0),"00")</f>
        <v>36-08-07</v>
      </c>
      <c r="N95" s="45">
        <v>45658</v>
      </c>
      <c r="O95" s="42"/>
      <c r="P95" s="46">
        <v>33.494</v>
      </c>
      <c r="Q95" s="47">
        <v>38.738999999999997</v>
      </c>
      <c r="R95" s="85">
        <v>4.2</v>
      </c>
      <c r="S95" s="41" t="str">
        <f>IF(COUNTA(#REF!)=1,"유","무")</f>
        <v>유</v>
      </c>
      <c r="T95" s="86">
        <v>40.460999999999999</v>
      </c>
      <c r="U95" s="86">
        <v>5.12</v>
      </c>
      <c r="V95" s="42"/>
    </row>
    <row r="96" spans="1:22" ht="27" customHeight="1" x14ac:dyDescent="0.15">
      <c r="A96" s="145">
        <v>90</v>
      </c>
      <c r="B96" s="42">
        <v>2011640</v>
      </c>
      <c r="C96" s="42" t="s">
        <v>389</v>
      </c>
      <c r="D96" s="42" t="s">
        <v>1548</v>
      </c>
      <c r="E96" s="42" t="s">
        <v>46</v>
      </c>
      <c r="F96" s="42" t="s">
        <v>46</v>
      </c>
      <c r="G96" s="75" t="s">
        <v>37</v>
      </c>
      <c r="H96" s="42" t="s">
        <v>82</v>
      </c>
      <c r="I96" s="42" t="s">
        <v>254</v>
      </c>
      <c r="J96" s="43" t="s">
        <v>572</v>
      </c>
      <c r="K96" s="8" t="str">
        <f t="shared" si="2"/>
        <v>128-23-48</v>
      </c>
      <c r="L96" s="44" t="s">
        <v>725</v>
      </c>
      <c r="M96" s="8" t="str">
        <f t="shared" si="1"/>
        <v>36-06-39</v>
      </c>
      <c r="N96" s="45">
        <v>22828</v>
      </c>
      <c r="O96" s="42" t="s">
        <v>38</v>
      </c>
      <c r="P96" s="46">
        <v>23.826000000000001</v>
      </c>
      <c r="Q96" s="46">
        <v>35.22</v>
      </c>
      <c r="R96" s="85">
        <v>11</v>
      </c>
      <c r="S96" s="41" t="str">
        <f>IF(COUNTA(#REF!)=1,"유","무")</f>
        <v>유</v>
      </c>
      <c r="T96" s="86">
        <v>10915.39</v>
      </c>
      <c r="U96" s="86">
        <v>204.751</v>
      </c>
      <c r="V96" s="42" t="s">
        <v>39</v>
      </c>
    </row>
    <row r="97" spans="1:22" ht="27" customHeight="1" x14ac:dyDescent="0.15">
      <c r="A97" s="145">
        <v>91</v>
      </c>
      <c r="B97" s="42">
        <v>2011648</v>
      </c>
      <c r="C97" s="42" t="s">
        <v>390</v>
      </c>
      <c r="D97" s="42" t="s">
        <v>1549</v>
      </c>
      <c r="E97" s="42" t="s">
        <v>46</v>
      </c>
      <c r="F97" s="42" t="s">
        <v>46</v>
      </c>
      <c r="G97" s="75" t="s">
        <v>507</v>
      </c>
      <c r="H97" s="42" t="s">
        <v>98</v>
      </c>
      <c r="I97" s="42" t="s">
        <v>1480</v>
      </c>
      <c r="J97" s="43" t="s">
        <v>573</v>
      </c>
      <c r="K97" s="8" t="str">
        <f t="shared" si="2"/>
        <v>128-23-46</v>
      </c>
      <c r="L97" s="44" t="s">
        <v>726</v>
      </c>
      <c r="M97" s="8" t="str">
        <f t="shared" si="1"/>
        <v>36-01-03</v>
      </c>
      <c r="N97" s="45">
        <v>40329</v>
      </c>
      <c r="O97" s="42" t="s">
        <v>38</v>
      </c>
      <c r="P97" s="46">
        <v>0</v>
      </c>
      <c r="Q97" s="46">
        <v>29.863</v>
      </c>
      <c r="R97" s="85">
        <v>30</v>
      </c>
      <c r="S97" s="41" t="str">
        <f>IF(COUNTA(#REF!)=1,"유","무")</f>
        <v>유</v>
      </c>
      <c r="T97" s="86">
        <v>11040</v>
      </c>
      <c r="U97" s="86">
        <v>193.434</v>
      </c>
      <c r="V97" s="42" t="s">
        <v>39</v>
      </c>
    </row>
    <row r="98" spans="1:22" ht="27" customHeight="1" x14ac:dyDescent="0.15">
      <c r="A98" s="145">
        <v>92</v>
      </c>
      <c r="B98" s="42">
        <v>2011649</v>
      </c>
      <c r="C98" s="42" t="s">
        <v>391</v>
      </c>
      <c r="D98" s="42" t="s">
        <v>1550</v>
      </c>
      <c r="E98" s="42" t="s">
        <v>46</v>
      </c>
      <c r="F98" s="42" t="s">
        <v>46</v>
      </c>
      <c r="G98" s="75" t="s">
        <v>37</v>
      </c>
      <c r="H98" s="42" t="s">
        <v>497</v>
      </c>
      <c r="I98" s="42" t="s">
        <v>880</v>
      </c>
      <c r="J98" s="43" t="s">
        <v>574</v>
      </c>
      <c r="K98" s="8" t="str">
        <f t="shared" si="2"/>
        <v>128-23-42</v>
      </c>
      <c r="L98" s="44" t="s">
        <v>727</v>
      </c>
      <c r="M98" s="8" t="str">
        <f t="shared" si="1"/>
        <v>36-00-50</v>
      </c>
      <c r="N98" s="45">
        <v>40695</v>
      </c>
      <c r="O98" s="42" t="s">
        <v>38</v>
      </c>
      <c r="P98" s="46">
        <v>0</v>
      </c>
      <c r="Q98" s="46">
        <v>28.25</v>
      </c>
      <c r="R98" s="85">
        <v>25</v>
      </c>
      <c r="S98" s="41" t="str">
        <f>IF(COUNTA(#REF!)=1,"유","무")</f>
        <v>유</v>
      </c>
      <c r="T98" s="86">
        <v>11040</v>
      </c>
      <c r="U98" s="86">
        <v>192.97399999999999</v>
      </c>
      <c r="V98" s="42" t="s">
        <v>39</v>
      </c>
    </row>
    <row r="99" spans="1:22" ht="27" customHeight="1" x14ac:dyDescent="0.15">
      <c r="A99" s="145">
        <v>93</v>
      </c>
      <c r="B99" s="42">
        <v>2011650</v>
      </c>
      <c r="C99" s="42" t="s">
        <v>392</v>
      </c>
      <c r="D99" s="42" t="s">
        <v>1551</v>
      </c>
      <c r="E99" s="42" t="s">
        <v>46</v>
      </c>
      <c r="F99" s="42" t="s">
        <v>46</v>
      </c>
      <c r="G99" s="75" t="s">
        <v>37</v>
      </c>
      <c r="H99" s="42" t="s">
        <v>98</v>
      </c>
      <c r="I99" s="42" t="s">
        <v>255</v>
      </c>
      <c r="J99" s="43" t="s">
        <v>575</v>
      </c>
      <c r="K99" s="8" t="str">
        <f t="shared" si="2"/>
        <v>128-23-39</v>
      </c>
      <c r="L99" s="44" t="s">
        <v>728</v>
      </c>
      <c r="M99" s="8" t="str">
        <f t="shared" si="1"/>
        <v>36-00-01</v>
      </c>
      <c r="N99" s="45">
        <v>8858</v>
      </c>
      <c r="O99" s="42" t="s">
        <v>38</v>
      </c>
      <c r="P99" s="46">
        <v>13.115</v>
      </c>
      <c r="Q99" s="46">
        <v>31.007000000000001</v>
      </c>
      <c r="R99" s="85">
        <v>9</v>
      </c>
      <c r="S99" s="41" t="str">
        <f>IF(COUNTA(#REF!)=1,"유","무")</f>
        <v>유</v>
      </c>
      <c r="T99" s="86">
        <v>11103.91</v>
      </c>
      <c r="U99" s="86">
        <v>191.49700000000001</v>
      </c>
      <c r="V99" s="42" t="s">
        <v>39</v>
      </c>
    </row>
    <row r="100" spans="1:22" ht="27" customHeight="1" x14ac:dyDescent="0.15">
      <c r="A100" s="145">
        <v>94</v>
      </c>
      <c r="B100" s="42">
        <v>2011660</v>
      </c>
      <c r="C100" s="42" t="s">
        <v>393</v>
      </c>
      <c r="D100" s="42" t="s">
        <v>1552</v>
      </c>
      <c r="E100" s="42" t="s">
        <v>46</v>
      </c>
      <c r="F100" s="42" t="s">
        <v>46</v>
      </c>
      <c r="G100" s="75" t="s">
        <v>37</v>
      </c>
      <c r="H100" s="42" t="s">
        <v>1318</v>
      </c>
      <c r="I100" s="42" t="s">
        <v>256</v>
      </c>
      <c r="J100" s="43" t="s">
        <v>576</v>
      </c>
      <c r="K100" s="8" t="str">
        <f t="shared" si="2"/>
        <v>128-23-25</v>
      </c>
      <c r="L100" s="44" t="s">
        <v>729</v>
      </c>
      <c r="M100" s="8" t="str">
        <f t="shared" si="1"/>
        <v>35-52-52</v>
      </c>
      <c r="N100" s="45">
        <v>34766</v>
      </c>
      <c r="O100" s="42" t="s">
        <v>38</v>
      </c>
      <c r="P100" s="46">
        <v>15.272</v>
      </c>
      <c r="Q100" s="46">
        <v>29.186</v>
      </c>
      <c r="R100" s="85">
        <v>15</v>
      </c>
      <c r="S100" s="41" t="str">
        <f>IF(COUNTA(#REF!)=1,"유","무")</f>
        <v>유</v>
      </c>
      <c r="T100" s="86">
        <v>11220.82</v>
      </c>
      <c r="U100" s="86">
        <v>177.822</v>
      </c>
      <c r="V100" s="42" t="s">
        <v>39</v>
      </c>
    </row>
    <row r="101" spans="1:22" ht="27" customHeight="1" x14ac:dyDescent="0.15">
      <c r="A101" s="145">
        <v>95</v>
      </c>
      <c r="B101" s="42">
        <v>2011665</v>
      </c>
      <c r="C101" s="42" t="s">
        <v>394</v>
      </c>
      <c r="D101" s="42" t="s">
        <v>1553</v>
      </c>
      <c r="E101" s="42" t="s">
        <v>46</v>
      </c>
      <c r="F101" s="42" t="s">
        <v>106</v>
      </c>
      <c r="G101" s="75" t="s">
        <v>37</v>
      </c>
      <c r="H101" s="42" t="s">
        <v>50</v>
      </c>
      <c r="I101" s="42" t="s">
        <v>881</v>
      </c>
      <c r="J101" s="43" t="s">
        <v>577</v>
      </c>
      <c r="K101" s="8" t="str">
        <f t="shared" si="2"/>
        <v>128-21-57</v>
      </c>
      <c r="L101" s="44" t="s">
        <v>730</v>
      </c>
      <c r="M101" s="8" t="str">
        <f t="shared" si="1"/>
        <v>35-52-46</v>
      </c>
      <c r="N101" s="45">
        <v>39814</v>
      </c>
      <c r="O101" s="42" t="s">
        <v>38</v>
      </c>
      <c r="P101" s="46">
        <v>18.445</v>
      </c>
      <c r="Q101" s="46">
        <v>27.619</v>
      </c>
      <c r="R101" s="85">
        <v>12</v>
      </c>
      <c r="S101" s="41" t="str">
        <f>IF(COUNTA(#REF!)=1,"유","무")</f>
        <v>유</v>
      </c>
      <c r="T101" s="86">
        <v>289.19</v>
      </c>
      <c r="U101" s="86">
        <v>3.2</v>
      </c>
      <c r="V101" s="42" t="s">
        <v>39</v>
      </c>
    </row>
    <row r="102" spans="1:22" ht="27" customHeight="1" x14ac:dyDescent="0.15">
      <c r="A102" s="145">
        <v>96</v>
      </c>
      <c r="B102" s="42">
        <v>2011670</v>
      </c>
      <c r="C102" s="42" t="s">
        <v>1835</v>
      </c>
      <c r="D102" s="42" t="s">
        <v>1929</v>
      </c>
      <c r="E102" s="42" t="s">
        <v>46</v>
      </c>
      <c r="F102" s="42" t="s">
        <v>1999</v>
      </c>
      <c r="G102" s="75" t="s">
        <v>507</v>
      </c>
      <c r="H102" s="42" t="s">
        <v>2299</v>
      </c>
      <c r="I102" s="42" t="s">
        <v>2276</v>
      </c>
      <c r="J102" s="8" t="s">
        <v>2084</v>
      </c>
      <c r="K102" s="8" t="str">
        <f>LEFT(TRIM(J102),7)&amp;TEXT(ROUND(RIGHT(TRIM(J102),LEN(TRIM(J102))-7),0),"00")</f>
        <v>128-17-39</v>
      </c>
      <c r="L102" s="8" t="s">
        <v>2179</v>
      </c>
      <c r="M102" s="8" t="str">
        <f>LEFT(TRIM(L102),6)&amp;TEXT(ROUND(RIGHT(TRIM(L102),LEN(TRIM(L102))-6),0),"00")</f>
        <v>35-55-04</v>
      </c>
      <c r="N102" s="45">
        <v>45658</v>
      </c>
      <c r="O102" s="42"/>
      <c r="P102" s="46">
        <v>28.995000000000001</v>
      </c>
      <c r="Q102" s="47">
        <v>36.753</v>
      </c>
      <c r="R102" s="85">
        <v>7</v>
      </c>
      <c r="S102" s="41" t="str">
        <f>IF(COUNTA(#REF!)=1,"유","무")</f>
        <v>유</v>
      </c>
      <c r="T102" s="86">
        <v>116.371</v>
      </c>
      <c r="U102" s="86">
        <v>2.7189999999999999</v>
      </c>
      <c r="V102" s="42"/>
    </row>
    <row r="103" spans="1:22" ht="27" customHeight="1" x14ac:dyDescent="0.15">
      <c r="A103" s="145">
        <v>97</v>
      </c>
      <c r="B103" s="42">
        <v>2011672</v>
      </c>
      <c r="C103" s="42" t="s">
        <v>1836</v>
      </c>
      <c r="D103" s="42" t="s">
        <v>1930</v>
      </c>
      <c r="E103" s="42" t="s">
        <v>46</v>
      </c>
      <c r="F103" s="42" t="s">
        <v>106</v>
      </c>
      <c r="G103" s="75" t="s">
        <v>37</v>
      </c>
      <c r="H103" s="42" t="s">
        <v>2299</v>
      </c>
      <c r="I103" s="42" t="s">
        <v>2277</v>
      </c>
      <c r="J103" s="8" t="s">
        <v>2085</v>
      </c>
      <c r="K103" s="8" t="str">
        <f>LEFT(TRIM(J103),7)&amp;TEXT(ROUND(RIGHT(TRIM(J103),LEN(TRIM(J103))-7),0),"00")</f>
        <v>128-18-35</v>
      </c>
      <c r="L103" s="8" t="s">
        <v>2180</v>
      </c>
      <c r="M103" s="8" t="str">
        <f>LEFT(TRIM(L103),6)&amp;TEXT(ROUND(RIGHT(TRIM(L103),LEN(TRIM(L103))-6),0),"00")</f>
        <v>35-56-26</v>
      </c>
      <c r="N103" s="45">
        <v>45658</v>
      </c>
      <c r="O103" s="42"/>
      <c r="P103" s="46">
        <v>28.934000000000001</v>
      </c>
      <c r="Q103" s="47">
        <v>35.972999999999999</v>
      </c>
      <c r="R103" s="85">
        <v>5</v>
      </c>
      <c r="S103" s="41" t="str">
        <f>IF(COUNTA(#REF!)=1,"유","무")</f>
        <v>유</v>
      </c>
      <c r="T103" s="86">
        <v>103.145</v>
      </c>
      <c r="U103" s="86">
        <v>12.769</v>
      </c>
      <c r="V103" s="42"/>
    </row>
    <row r="104" spans="1:22" ht="27" customHeight="1" x14ac:dyDescent="0.15">
      <c r="A104" s="145">
        <v>98</v>
      </c>
      <c r="B104" s="42">
        <v>2011696</v>
      </c>
      <c r="C104" s="42" t="s">
        <v>395</v>
      </c>
      <c r="D104" s="42" t="s">
        <v>1554</v>
      </c>
      <c r="E104" s="42" t="s">
        <v>46</v>
      </c>
      <c r="F104" s="42" t="s">
        <v>46</v>
      </c>
      <c r="G104" s="75" t="s">
        <v>37</v>
      </c>
      <c r="H104" s="42" t="s">
        <v>498</v>
      </c>
      <c r="I104" s="42" t="s">
        <v>882</v>
      </c>
      <c r="J104" s="43" t="s">
        <v>578</v>
      </c>
      <c r="K104" s="8" t="str">
        <f t="shared" si="2"/>
        <v>128-27-57</v>
      </c>
      <c r="L104" s="44" t="s">
        <v>731</v>
      </c>
      <c r="M104" s="8" t="str">
        <f t="shared" si="1"/>
        <v>35-50-24</v>
      </c>
      <c r="N104" s="45">
        <v>40695</v>
      </c>
      <c r="O104" s="42" t="s">
        <v>38</v>
      </c>
      <c r="P104" s="46">
        <v>0</v>
      </c>
      <c r="Q104" s="46">
        <v>26.216999999999999</v>
      </c>
      <c r="R104" s="85">
        <v>20</v>
      </c>
      <c r="S104" s="41" t="str">
        <f>IF(COUNTA(#REF!)=1,"유","무")</f>
        <v>유</v>
      </c>
      <c r="T104" s="86">
        <v>11667</v>
      </c>
      <c r="U104" s="86">
        <v>167.535</v>
      </c>
      <c r="V104" s="42" t="s">
        <v>39</v>
      </c>
    </row>
    <row r="105" spans="1:22" ht="27" customHeight="1" x14ac:dyDescent="0.15">
      <c r="A105" s="145">
        <v>99</v>
      </c>
      <c r="B105" s="42">
        <v>2012603</v>
      </c>
      <c r="C105" s="42" t="s">
        <v>1846</v>
      </c>
      <c r="D105" s="42" t="s">
        <v>1940</v>
      </c>
      <c r="E105" s="42" t="s">
        <v>46</v>
      </c>
      <c r="F105" s="42" t="s">
        <v>2003</v>
      </c>
      <c r="G105" s="75" t="s">
        <v>507</v>
      </c>
      <c r="H105" s="42" t="s">
        <v>2300</v>
      </c>
      <c r="I105" s="42" t="s">
        <v>2287</v>
      </c>
      <c r="J105" s="8" t="s">
        <v>2095</v>
      </c>
      <c r="K105" s="8" t="str">
        <f>LEFT(TRIM(J105),7)&amp;TEXT(ROUND(RIGHT(TRIM(J105),LEN(TRIM(J105))-7),0),"00")</f>
        <v>129-06-07</v>
      </c>
      <c r="L105" s="8" t="s">
        <v>2190</v>
      </c>
      <c r="M105" s="8" t="str">
        <f>LEFT(TRIM(L105),6)&amp;TEXT(ROUND(RIGHT(TRIM(L105),LEN(TRIM(L105))-6),0),"00")</f>
        <v>36-09-47</v>
      </c>
      <c r="N105" s="45">
        <v>45658</v>
      </c>
      <c r="O105" s="42"/>
      <c r="P105" s="46">
        <v>210.31399999999999</v>
      </c>
      <c r="Q105" s="47">
        <v>215.30099999999999</v>
      </c>
      <c r="R105" s="85">
        <v>4</v>
      </c>
      <c r="S105" s="41" t="str">
        <f>IF(COUNTA(#REF!)=1,"유","무")</f>
        <v>유</v>
      </c>
      <c r="T105" s="86">
        <v>42.787999999999997</v>
      </c>
      <c r="U105" s="86">
        <v>0.90920800000000002</v>
      </c>
      <c r="V105" s="42"/>
    </row>
    <row r="106" spans="1:22" ht="27" customHeight="1" x14ac:dyDescent="0.15">
      <c r="A106" s="145">
        <v>100</v>
      </c>
      <c r="B106" s="42">
        <v>2012609</v>
      </c>
      <c r="C106" s="42" t="s">
        <v>1838</v>
      </c>
      <c r="D106" s="42" t="s">
        <v>1932</v>
      </c>
      <c r="E106" s="42" t="s">
        <v>46</v>
      </c>
      <c r="F106" s="42" t="s">
        <v>338</v>
      </c>
      <c r="G106" s="75" t="s">
        <v>37</v>
      </c>
      <c r="H106" s="42" t="s">
        <v>2300</v>
      </c>
      <c r="I106" s="42" t="s">
        <v>2279</v>
      </c>
      <c r="J106" s="8" t="s">
        <v>2087</v>
      </c>
      <c r="K106" s="8" t="str">
        <f t="shared" ref="K106" si="3">LEFT(TRIM(J106),7)&amp;TEXT(ROUND(RIGHT(TRIM(J106),LEN(TRIM(J106))-7),0),"00")</f>
        <v>128-54-42</v>
      </c>
      <c r="L106" s="8" t="s">
        <v>2182</v>
      </c>
      <c r="M106" s="8" t="str">
        <f t="shared" ref="M106" si="4">LEFT(TRIM(L106),6)&amp;TEXT(ROUND(RIGHT(TRIM(L106),LEN(TRIM(L106))-6),0),"00")</f>
        <v>35-58-34</v>
      </c>
      <c r="N106" s="45">
        <v>45658</v>
      </c>
      <c r="O106" s="42"/>
      <c r="P106" s="46">
        <v>68.274000000000001</v>
      </c>
      <c r="Q106" s="47">
        <v>74.206999999999994</v>
      </c>
      <c r="R106" s="85">
        <v>5</v>
      </c>
      <c r="S106" s="41" t="str">
        <f>IF(COUNTA(#REF!)=1,"유","무")</f>
        <v>유</v>
      </c>
      <c r="T106" s="86">
        <v>180.631</v>
      </c>
      <c r="U106" s="86">
        <v>0.26500000000000001</v>
      </c>
      <c r="V106" s="42"/>
    </row>
    <row r="107" spans="1:22" ht="27" customHeight="1" x14ac:dyDescent="0.15">
      <c r="A107" s="145">
        <v>101</v>
      </c>
      <c r="B107" s="42">
        <v>2012622</v>
      </c>
      <c r="C107" s="42" t="s">
        <v>1766</v>
      </c>
      <c r="D107" s="42" t="s">
        <v>1861</v>
      </c>
      <c r="E107" s="42" t="s">
        <v>46</v>
      </c>
      <c r="F107" s="42" t="s">
        <v>1953</v>
      </c>
      <c r="G107" s="75" t="s">
        <v>507</v>
      </c>
      <c r="H107" s="42" t="s">
        <v>2297</v>
      </c>
      <c r="I107" s="42" t="s">
        <v>2208</v>
      </c>
      <c r="J107" s="8" t="s">
        <v>2015</v>
      </c>
      <c r="K107" s="8" t="str">
        <f>LEFT(TRIM(J107),7)&amp;TEXT(ROUND(RIGHT(TRIM(J107),LEN(TRIM(J107))-7),0),"00")</f>
        <v>129-00-00</v>
      </c>
      <c r="L107" s="8" t="s">
        <v>2110</v>
      </c>
      <c r="M107" s="8" t="str">
        <f>LEFT(TRIM(L107),6)&amp;TEXT(ROUND(RIGHT(TRIM(L107),LEN(TRIM(L107))-6),0),"00")</f>
        <v>35-59-09</v>
      </c>
      <c r="N107" s="45">
        <v>45658</v>
      </c>
      <c r="O107" s="42"/>
      <c r="P107" s="46">
        <v>82.183999999999997</v>
      </c>
      <c r="Q107" s="47">
        <v>88.326999999999998</v>
      </c>
      <c r="R107" s="85">
        <v>6</v>
      </c>
      <c r="S107" s="41" t="str">
        <f>IF(COUNTA(#REF!)=1,"유","무")</f>
        <v>유</v>
      </c>
      <c r="T107" s="86">
        <v>92.34</v>
      </c>
      <c r="U107" s="86">
        <v>3.8090000000000002</v>
      </c>
      <c r="V107" s="42"/>
    </row>
    <row r="108" spans="1:22" ht="27" customHeight="1" x14ac:dyDescent="0.15">
      <c r="A108" s="145">
        <v>102</v>
      </c>
      <c r="B108" s="42">
        <v>2012625</v>
      </c>
      <c r="C108" s="42" t="s">
        <v>396</v>
      </c>
      <c r="D108" s="42" t="s">
        <v>1555</v>
      </c>
      <c r="E108" s="42" t="s">
        <v>46</v>
      </c>
      <c r="F108" s="42" t="s">
        <v>108</v>
      </c>
      <c r="G108" s="75" t="s">
        <v>37</v>
      </c>
      <c r="H108" s="42" t="s">
        <v>82</v>
      </c>
      <c r="I108" s="42" t="s">
        <v>257</v>
      </c>
      <c r="J108" s="43" t="s">
        <v>579</v>
      </c>
      <c r="K108" s="8" t="str">
        <f t="shared" si="2"/>
        <v>128-58-06</v>
      </c>
      <c r="L108" s="44" t="s">
        <v>732</v>
      </c>
      <c r="M108" s="8" t="str">
        <f t="shared" si="1"/>
        <v>35-58-43</v>
      </c>
      <c r="N108" s="45">
        <v>26299</v>
      </c>
      <c r="O108" s="42" t="s">
        <v>38</v>
      </c>
      <c r="P108" s="46">
        <v>77.900999999999996</v>
      </c>
      <c r="Q108" s="46">
        <v>85.120999999999995</v>
      </c>
      <c r="R108" s="85">
        <v>6</v>
      </c>
      <c r="S108" s="41" t="str">
        <f>IF(COUNTA(#REF!)=1,"유","무")</f>
        <v>유</v>
      </c>
      <c r="T108" s="86">
        <v>326.88</v>
      </c>
      <c r="U108" s="86">
        <v>1.77</v>
      </c>
      <c r="V108" s="42" t="s">
        <v>39</v>
      </c>
    </row>
    <row r="109" spans="1:22" ht="27" customHeight="1" x14ac:dyDescent="0.15">
      <c r="A109" s="145">
        <v>103</v>
      </c>
      <c r="B109" s="42">
        <v>2012628</v>
      </c>
      <c r="C109" s="42" t="s">
        <v>397</v>
      </c>
      <c r="D109" s="42" t="s">
        <v>1556</v>
      </c>
      <c r="E109" s="42" t="s">
        <v>46</v>
      </c>
      <c r="F109" s="42" t="s">
        <v>109</v>
      </c>
      <c r="G109" s="75" t="s">
        <v>37</v>
      </c>
      <c r="H109" s="42" t="s">
        <v>1359</v>
      </c>
      <c r="I109" s="42" t="s">
        <v>258</v>
      </c>
      <c r="J109" s="43" t="s">
        <v>580</v>
      </c>
      <c r="K109" s="8" t="str">
        <f t="shared" si="2"/>
        <v>128-56-18</v>
      </c>
      <c r="L109" s="44" t="s">
        <v>733</v>
      </c>
      <c r="M109" s="8" t="str">
        <f t="shared" si="1"/>
        <v>35-58-08</v>
      </c>
      <c r="N109" s="45">
        <v>39479</v>
      </c>
      <c r="O109" s="42" t="s">
        <v>38</v>
      </c>
      <c r="P109" s="46">
        <v>67.447999999999993</v>
      </c>
      <c r="Q109" s="46">
        <v>77.203999999999994</v>
      </c>
      <c r="R109" s="85">
        <v>9</v>
      </c>
      <c r="S109" s="41" t="str">
        <f>IF(COUNTA(#REF!)=1,"유","무")</f>
        <v>유</v>
      </c>
      <c r="T109" s="86">
        <v>452.63</v>
      </c>
      <c r="U109" s="86">
        <v>66.400000000000006</v>
      </c>
      <c r="V109" s="42" t="s">
        <v>39</v>
      </c>
    </row>
    <row r="110" spans="1:22" ht="27" customHeight="1" x14ac:dyDescent="0.15">
      <c r="A110" s="145">
        <v>104</v>
      </c>
      <c r="B110" s="42">
        <v>2012632</v>
      </c>
      <c r="C110" s="42" t="s">
        <v>398</v>
      </c>
      <c r="D110" s="42" t="s">
        <v>1557</v>
      </c>
      <c r="E110" s="42" t="s">
        <v>46</v>
      </c>
      <c r="F110" s="42" t="s">
        <v>111</v>
      </c>
      <c r="G110" s="75" t="s">
        <v>507</v>
      </c>
      <c r="H110" s="42" t="s">
        <v>1359</v>
      </c>
      <c r="I110" s="42" t="s">
        <v>259</v>
      </c>
      <c r="J110" s="43" t="s">
        <v>581</v>
      </c>
      <c r="K110" s="8" t="str">
        <f t="shared" si="2"/>
        <v>128-55-03</v>
      </c>
      <c r="L110" s="44" t="s">
        <v>734</v>
      </c>
      <c r="M110" s="8" t="str">
        <f t="shared" si="1"/>
        <v>35-57-42</v>
      </c>
      <c r="N110" s="45">
        <v>40544</v>
      </c>
      <c r="O110" s="42" t="s">
        <v>38</v>
      </c>
      <c r="P110" s="46">
        <v>66.986999999999995</v>
      </c>
      <c r="Q110" s="46">
        <v>73.644000000000005</v>
      </c>
      <c r="R110" s="85">
        <v>7</v>
      </c>
      <c r="S110" s="41" t="str">
        <f>IF(COUNTA(#REF!)=1,"유","무")</f>
        <v>유</v>
      </c>
      <c r="T110" s="86">
        <v>342.93</v>
      </c>
      <c r="U110" s="86">
        <v>0.57999999999999996</v>
      </c>
      <c r="V110" s="42" t="s">
        <v>39</v>
      </c>
    </row>
    <row r="111" spans="1:22" ht="27" customHeight="1" x14ac:dyDescent="0.15">
      <c r="A111" s="145">
        <v>105</v>
      </c>
      <c r="B111" s="42">
        <v>2012634</v>
      </c>
      <c r="C111" s="42" t="s">
        <v>1768</v>
      </c>
      <c r="D111" s="42" t="s">
        <v>1863</v>
      </c>
      <c r="E111" s="42" t="s">
        <v>46</v>
      </c>
      <c r="F111" s="42" t="s">
        <v>1955</v>
      </c>
      <c r="G111" s="75" t="s">
        <v>37</v>
      </c>
      <c r="H111" s="42" t="s">
        <v>2298</v>
      </c>
      <c r="I111" s="42" t="s">
        <v>2210</v>
      </c>
      <c r="J111" s="8" t="s">
        <v>2017</v>
      </c>
      <c r="K111" s="8" t="str">
        <f>LEFT(TRIM(J111),7)&amp;TEXT(ROUND(RIGHT(TRIM(J111),LEN(TRIM(J111))-7),0),"00")</f>
        <v>128-55-44</v>
      </c>
      <c r="L111" s="8" t="s">
        <v>2112</v>
      </c>
      <c r="M111" s="8" t="str">
        <f>LEFT(TRIM(L111),6)&amp;TEXT(ROUND(RIGHT(TRIM(L111),LEN(TRIM(L111))-6),0),"00")</f>
        <v>35-56-01</v>
      </c>
      <c r="N111" s="45">
        <v>45658</v>
      </c>
      <c r="O111" s="42"/>
      <c r="P111" s="46">
        <v>59.814999999999998</v>
      </c>
      <c r="Q111" s="47">
        <v>66.703000000000003</v>
      </c>
      <c r="R111" s="85">
        <v>7</v>
      </c>
      <c r="S111" s="41" t="str">
        <f>IF(COUNTA(#REF!)=1,"유","무")</f>
        <v>유</v>
      </c>
      <c r="T111" s="86">
        <v>93.66</v>
      </c>
      <c r="U111" s="86">
        <v>0.92800000000000005</v>
      </c>
      <c r="V111" s="42"/>
    </row>
    <row r="112" spans="1:22" ht="27" customHeight="1" x14ac:dyDescent="0.15">
      <c r="A112" s="145">
        <v>106</v>
      </c>
      <c r="B112" s="42">
        <v>2012638</v>
      </c>
      <c r="C112" s="42" t="s">
        <v>1758</v>
      </c>
      <c r="D112" s="42" t="s">
        <v>1853</v>
      </c>
      <c r="E112" s="42" t="s">
        <v>46</v>
      </c>
      <c r="F112" s="42" t="s">
        <v>1947</v>
      </c>
      <c r="G112" s="75" t="s">
        <v>37</v>
      </c>
      <c r="H112" s="42" t="s">
        <v>2298</v>
      </c>
      <c r="I112" s="42" t="s">
        <v>2200</v>
      </c>
      <c r="J112" s="8" t="s">
        <v>2007</v>
      </c>
      <c r="K112" s="8" t="str">
        <f>LEFT(TRIM(J112),7)&amp;TEXT(ROUND(RIGHT(TRIM(J112),LEN(TRIM(J112))-7),0),"00")</f>
        <v>128-50-31</v>
      </c>
      <c r="L112" s="8" t="s">
        <v>2102</v>
      </c>
      <c r="M112" s="8" t="str">
        <f>LEFT(TRIM(L112),6)&amp;TEXT(ROUND(RIGHT(TRIM(L112),LEN(TRIM(L112))-6),0),"00")</f>
        <v>35-55-04</v>
      </c>
      <c r="N112" s="45">
        <v>45658</v>
      </c>
      <c r="O112" s="42"/>
      <c r="P112" s="46">
        <v>48.072000000000003</v>
      </c>
      <c r="Q112" s="47">
        <v>54.747</v>
      </c>
      <c r="R112" s="85">
        <v>6</v>
      </c>
      <c r="S112" s="41" t="str">
        <f>IF(COUNTA(#REF!)=1,"유","무")</f>
        <v>유</v>
      </c>
      <c r="T112" s="86">
        <v>104.309</v>
      </c>
      <c r="U112" s="86">
        <v>1.958</v>
      </c>
      <c r="V112" s="42"/>
    </row>
    <row r="113" spans="1:22" ht="27" customHeight="1" x14ac:dyDescent="0.15">
      <c r="A113" s="145">
        <v>107</v>
      </c>
      <c r="B113" s="42">
        <v>2012640</v>
      </c>
      <c r="C113" s="42" t="s">
        <v>399</v>
      </c>
      <c r="D113" s="42" t="s">
        <v>1558</v>
      </c>
      <c r="E113" s="42" t="s">
        <v>46</v>
      </c>
      <c r="F113" s="42" t="s">
        <v>109</v>
      </c>
      <c r="G113" s="75" t="s">
        <v>37</v>
      </c>
      <c r="H113" s="42" t="s">
        <v>98</v>
      </c>
      <c r="I113" s="42" t="s">
        <v>260</v>
      </c>
      <c r="J113" s="43" t="s">
        <v>582</v>
      </c>
      <c r="K113" s="8" t="str">
        <f t="shared" si="2"/>
        <v>128-52-32</v>
      </c>
      <c r="L113" s="44" t="s">
        <v>735</v>
      </c>
      <c r="M113" s="8" t="str">
        <f t="shared" ref="M113:M203" si="5">LEFT(TRIM(L113),6)&amp;TEXT(ROUND(RIGHT(TRIM(L113),LEN(TRIM(L113))-6),0),"00")</f>
        <v>35-55-50</v>
      </c>
      <c r="N113" s="45">
        <v>22828</v>
      </c>
      <c r="O113" s="42" t="s">
        <v>38</v>
      </c>
      <c r="P113" s="46">
        <v>52.582000000000001</v>
      </c>
      <c r="Q113" s="46">
        <v>60.316000000000003</v>
      </c>
      <c r="R113" s="85">
        <v>9</v>
      </c>
      <c r="S113" s="41" t="str">
        <f>IF(COUNTA(#REF!)=1,"유","무")</f>
        <v>유</v>
      </c>
      <c r="T113" s="86">
        <v>926.93</v>
      </c>
      <c r="U113" s="86">
        <v>54.89</v>
      </c>
      <c r="V113" s="42" t="s">
        <v>39</v>
      </c>
    </row>
    <row r="114" spans="1:22" ht="27" customHeight="1" x14ac:dyDescent="0.15">
      <c r="A114" s="145">
        <v>108</v>
      </c>
      <c r="B114" s="42">
        <v>2012643</v>
      </c>
      <c r="C114" s="42" t="s">
        <v>1759</v>
      </c>
      <c r="D114" s="42" t="s">
        <v>1854</v>
      </c>
      <c r="E114" s="42" t="s">
        <v>46</v>
      </c>
      <c r="F114" s="42" t="s">
        <v>1948</v>
      </c>
      <c r="G114" s="75" t="s">
        <v>37</v>
      </c>
      <c r="H114" s="42" t="s">
        <v>2299</v>
      </c>
      <c r="I114" s="42" t="s">
        <v>2201</v>
      </c>
      <c r="J114" s="8" t="s">
        <v>2008</v>
      </c>
      <c r="K114" s="8" t="str">
        <f>LEFT(TRIM(J114),7)&amp;TEXT(ROUND(RIGHT(TRIM(J114),LEN(TRIM(J114))-7),0),"00")</f>
        <v>128-49-31</v>
      </c>
      <c r="L114" s="8" t="s">
        <v>2103</v>
      </c>
      <c r="M114" s="8" t="str">
        <f>LEFT(TRIM(L114),6)&amp;TEXT(ROUND(RIGHT(TRIM(L114),LEN(TRIM(L114))-6),0),"00")</f>
        <v>35-54-50</v>
      </c>
      <c r="N114" s="45">
        <v>45658</v>
      </c>
      <c r="O114" s="42"/>
      <c r="P114" s="46">
        <v>47.39</v>
      </c>
      <c r="Q114" s="47">
        <v>54.68</v>
      </c>
      <c r="R114" s="85">
        <v>6</v>
      </c>
      <c r="S114" s="41" t="str">
        <f>IF(COUNTA(#REF!)=1,"유","무")</f>
        <v>유</v>
      </c>
      <c r="T114" s="86">
        <v>17.209</v>
      </c>
      <c r="U114" s="86">
        <v>0.35299999999999998</v>
      </c>
      <c r="V114" s="42"/>
    </row>
    <row r="115" spans="1:22" ht="27" customHeight="1" x14ac:dyDescent="0.15">
      <c r="A115" s="145">
        <v>109</v>
      </c>
      <c r="B115" s="42">
        <v>2012644</v>
      </c>
      <c r="C115" s="42" t="s">
        <v>1767</v>
      </c>
      <c r="D115" s="42" t="s">
        <v>1862</v>
      </c>
      <c r="E115" s="42" t="s">
        <v>46</v>
      </c>
      <c r="F115" s="42" t="s">
        <v>1954</v>
      </c>
      <c r="G115" s="75" t="s">
        <v>37</v>
      </c>
      <c r="H115" s="42" t="s">
        <v>2298</v>
      </c>
      <c r="I115" s="42" t="s">
        <v>2209</v>
      </c>
      <c r="J115" s="8" t="s">
        <v>2016</v>
      </c>
      <c r="K115" s="8" t="str">
        <f>LEFT(TRIM(J115),7)&amp;TEXT(ROUND(RIGHT(TRIM(J115),LEN(TRIM(J115))-7),0),"00")</f>
        <v>128-51-23</v>
      </c>
      <c r="L115" s="8" t="s">
        <v>2111</v>
      </c>
      <c r="M115" s="8" t="str">
        <f>LEFT(TRIM(L115),6)&amp;TEXT(ROUND(RIGHT(TRIM(L115),LEN(TRIM(L115))-6),0),"00")</f>
        <v>35-54-35</v>
      </c>
      <c r="N115" s="45">
        <v>45658</v>
      </c>
      <c r="O115" s="42"/>
      <c r="P115" s="46">
        <v>48.417000000000002</v>
      </c>
      <c r="Q115" s="47">
        <v>54.764000000000003</v>
      </c>
      <c r="R115" s="85">
        <v>6</v>
      </c>
      <c r="S115" s="41" t="str">
        <f>IF(COUNTA(#REF!)=1,"유","무")</f>
        <v>유</v>
      </c>
      <c r="T115" s="86">
        <v>62.438000000000002</v>
      </c>
      <c r="U115" s="86">
        <v>1.766</v>
      </c>
      <c r="V115" s="42"/>
    </row>
    <row r="116" spans="1:22" ht="27" customHeight="1" x14ac:dyDescent="0.15">
      <c r="A116" s="145">
        <v>110</v>
      </c>
      <c r="B116" s="42">
        <v>2012645</v>
      </c>
      <c r="C116" s="42" t="s">
        <v>400</v>
      </c>
      <c r="D116" s="42" t="s">
        <v>1559</v>
      </c>
      <c r="E116" s="42" t="s">
        <v>46</v>
      </c>
      <c r="F116" s="42" t="s">
        <v>46</v>
      </c>
      <c r="G116" s="75" t="s">
        <v>507</v>
      </c>
      <c r="H116" s="42" t="s">
        <v>2312</v>
      </c>
      <c r="I116" s="42" t="s">
        <v>261</v>
      </c>
      <c r="J116" s="43" t="s">
        <v>526</v>
      </c>
      <c r="K116" s="8" t="str">
        <f t="shared" ref="K116:K204" si="6">LEFT(TRIM(J116),7)&amp;TEXT(ROUND(RIGHT(TRIM(J116),LEN(TRIM(J116))-7),0),"00")</f>
        <v>128-53-20</v>
      </c>
      <c r="L116" s="44" t="s">
        <v>678</v>
      </c>
      <c r="M116" s="8" t="str">
        <f t="shared" si="5"/>
        <v>36-50-46</v>
      </c>
      <c r="N116" s="45">
        <v>22828</v>
      </c>
      <c r="O116" s="42" t="s">
        <v>38</v>
      </c>
      <c r="P116" s="46">
        <v>190.55699999999999</v>
      </c>
      <c r="Q116" s="46">
        <v>203.375</v>
      </c>
      <c r="R116" s="85">
        <v>9</v>
      </c>
      <c r="S116" s="41" t="str">
        <f>IF(COUNTA(#REF!)=1,"유","무")</f>
        <v>유</v>
      </c>
      <c r="T116" s="86">
        <v>1089.7</v>
      </c>
      <c r="U116" s="86">
        <v>403.06</v>
      </c>
      <c r="V116" s="42" t="s">
        <v>39</v>
      </c>
    </row>
    <row r="117" spans="1:22" ht="27" customHeight="1" x14ac:dyDescent="0.15">
      <c r="A117" s="145">
        <v>111</v>
      </c>
      <c r="B117" s="42">
        <v>2012646</v>
      </c>
      <c r="C117" s="42" t="s">
        <v>1828</v>
      </c>
      <c r="D117" s="42" t="s">
        <v>1922</v>
      </c>
      <c r="E117" s="42" t="s">
        <v>46</v>
      </c>
      <c r="F117" s="42" t="s">
        <v>115</v>
      </c>
      <c r="G117" s="75" t="s">
        <v>37</v>
      </c>
      <c r="H117" s="42" t="s">
        <v>2304</v>
      </c>
      <c r="I117" s="42" t="s">
        <v>2270</v>
      </c>
      <c r="J117" s="8" t="s">
        <v>2077</v>
      </c>
      <c r="K117" s="8" t="str">
        <f>LEFT(TRIM(J117),7)&amp;TEXT(ROUND(RIGHT(TRIM(J117),LEN(TRIM(J117))-7),0),"00")</f>
        <v>128-48-30</v>
      </c>
      <c r="L117" s="8" t="s">
        <v>2172</v>
      </c>
      <c r="M117" s="8" t="str">
        <f>LEFT(TRIM(L117),6)&amp;TEXT(ROUND(RIGHT(TRIM(L117),LEN(TRIM(L117))-6),0),"00")</f>
        <v>35-48-09</v>
      </c>
      <c r="N117" s="45">
        <v>45658</v>
      </c>
      <c r="O117" s="42"/>
      <c r="P117" s="46">
        <v>51.399000000000001</v>
      </c>
      <c r="Q117" s="47">
        <v>58.012</v>
      </c>
      <c r="R117" s="85">
        <v>5.5</v>
      </c>
      <c r="S117" s="41" t="str">
        <f>IF(COUNTA(#REF!)=1,"유","무")</f>
        <v>유</v>
      </c>
      <c r="T117" s="86">
        <v>105.422</v>
      </c>
      <c r="U117" s="86">
        <v>12.983000000000001</v>
      </c>
      <c r="V117" s="42"/>
    </row>
    <row r="118" spans="1:22" ht="27" customHeight="1" x14ac:dyDescent="0.15">
      <c r="A118" s="145">
        <v>112</v>
      </c>
      <c r="B118" s="42">
        <v>2012648</v>
      </c>
      <c r="C118" s="42" t="s">
        <v>401</v>
      </c>
      <c r="D118" s="42" t="s">
        <v>1560</v>
      </c>
      <c r="E118" s="42" t="s">
        <v>46</v>
      </c>
      <c r="F118" s="42" t="s">
        <v>115</v>
      </c>
      <c r="G118" s="75" t="s">
        <v>37</v>
      </c>
      <c r="H118" s="42" t="s">
        <v>40</v>
      </c>
      <c r="I118" s="42" t="s">
        <v>262</v>
      </c>
      <c r="J118" s="43" t="s">
        <v>583</v>
      </c>
      <c r="K118" s="8" t="str">
        <f t="shared" si="6"/>
        <v>128-45-59</v>
      </c>
      <c r="L118" s="44" t="s">
        <v>736</v>
      </c>
      <c r="M118" s="8" t="str">
        <f t="shared" si="5"/>
        <v>35-51-08</v>
      </c>
      <c r="N118" s="45">
        <v>39814</v>
      </c>
      <c r="O118" s="42" t="s">
        <v>38</v>
      </c>
      <c r="P118" s="46">
        <v>38.69</v>
      </c>
      <c r="Q118" s="46">
        <v>46.387</v>
      </c>
      <c r="R118" s="85">
        <v>7.4</v>
      </c>
      <c r="S118" s="41" t="str">
        <f>IF(COUNTA(#REF!)=1,"유","무")</f>
        <v>유</v>
      </c>
      <c r="T118" s="86">
        <v>165.44</v>
      </c>
      <c r="U118" s="86">
        <v>3.72</v>
      </c>
      <c r="V118" s="42" t="s">
        <v>926</v>
      </c>
    </row>
    <row r="119" spans="1:22" ht="27" customHeight="1" x14ac:dyDescent="0.15">
      <c r="A119" s="145">
        <v>113</v>
      </c>
      <c r="B119" s="42">
        <v>2012650</v>
      </c>
      <c r="C119" s="42" t="s">
        <v>402</v>
      </c>
      <c r="D119" s="42" t="s">
        <v>1561</v>
      </c>
      <c r="E119" s="42" t="s">
        <v>46</v>
      </c>
      <c r="F119" s="42" t="s">
        <v>109</v>
      </c>
      <c r="G119" s="75" t="s">
        <v>37</v>
      </c>
      <c r="H119" s="42" t="s">
        <v>40</v>
      </c>
      <c r="I119" s="42" t="s">
        <v>263</v>
      </c>
      <c r="J119" s="43" t="s">
        <v>584</v>
      </c>
      <c r="K119" s="8" t="str">
        <f t="shared" si="6"/>
        <v>128-46-45</v>
      </c>
      <c r="L119" s="44" t="s">
        <v>737</v>
      </c>
      <c r="M119" s="8" t="str">
        <f t="shared" si="5"/>
        <v>35-52-41</v>
      </c>
      <c r="N119" s="45">
        <v>37357</v>
      </c>
      <c r="O119" s="42" t="s">
        <v>38</v>
      </c>
      <c r="P119" s="46">
        <v>39.209000000000003</v>
      </c>
      <c r="Q119" s="46">
        <v>46.820999999999998</v>
      </c>
      <c r="R119" s="85">
        <v>7</v>
      </c>
      <c r="S119" s="41" t="str">
        <f>IF(COUNTA(#REF!)=1,"유","무")</f>
        <v>유</v>
      </c>
      <c r="T119" s="86">
        <v>1139.55</v>
      </c>
      <c r="U119" s="86">
        <v>43.65</v>
      </c>
      <c r="V119" s="42" t="s">
        <v>39</v>
      </c>
    </row>
    <row r="120" spans="1:22" ht="27" customHeight="1" x14ac:dyDescent="0.15">
      <c r="A120" s="145">
        <v>114</v>
      </c>
      <c r="B120" s="42">
        <v>2012652</v>
      </c>
      <c r="C120" s="42" t="s">
        <v>403</v>
      </c>
      <c r="D120" s="42" t="s">
        <v>1562</v>
      </c>
      <c r="E120" s="42" t="s">
        <v>46</v>
      </c>
      <c r="F120" s="42" t="s">
        <v>86</v>
      </c>
      <c r="G120" s="75" t="s">
        <v>37</v>
      </c>
      <c r="H120" s="42" t="s">
        <v>82</v>
      </c>
      <c r="I120" s="42" t="s">
        <v>264</v>
      </c>
      <c r="J120" s="43" t="s">
        <v>585</v>
      </c>
      <c r="K120" s="8" t="str">
        <f t="shared" si="6"/>
        <v>128-43-24</v>
      </c>
      <c r="L120" s="44" t="s">
        <v>738</v>
      </c>
      <c r="M120" s="8" t="str">
        <f t="shared" si="5"/>
        <v>35-51-07</v>
      </c>
      <c r="N120" s="45">
        <v>37294</v>
      </c>
      <c r="O120" s="42" t="s">
        <v>38</v>
      </c>
      <c r="P120" s="46">
        <v>35.209000000000003</v>
      </c>
      <c r="Q120" s="46">
        <v>40.613999999999997</v>
      </c>
      <c r="R120" s="85">
        <v>5</v>
      </c>
      <c r="S120" s="41" t="str">
        <f>IF(COUNTA(#REF!)=1,"유","무")</f>
        <v>유</v>
      </c>
      <c r="T120" s="86">
        <v>92.27</v>
      </c>
      <c r="U120" s="86">
        <v>1.8</v>
      </c>
      <c r="V120" s="42" t="s">
        <v>39</v>
      </c>
    </row>
    <row r="121" spans="1:22" ht="27" customHeight="1" x14ac:dyDescent="0.15">
      <c r="A121" s="145">
        <v>115</v>
      </c>
      <c r="B121" s="42">
        <v>2012653</v>
      </c>
      <c r="C121" s="42" t="s">
        <v>404</v>
      </c>
      <c r="D121" s="42" t="s">
        <v>1563</v>
      </c>
      <c r="E121" s="42" t="s">
        <v>46</v>
      </c>
      <c r="F121" s="42" t="s">
        <v>109</v>
      </c>
      <c r="G121" s="75" t="s">
        <v>37</v>
      </c>
      <c r="H121" s="42" t="s">
        <v>82</v>
      </c>
      <c r="I121" s="42" t="s">
        <v>265</v>
      </c>
      <c r="J121" s="43" t="s">
        <v>586</v>
      </c>
      <c r="K121" s="8" t="str">
        <f t="shared" si="6"/>
        <v>128-42-55</v>
      </c>
      <c r="L121" s="44" t="s">
        <v>739</v>
      </c>
      <c r="M121" s="8" t="str">
        <f t="shared" si="5"/>
        <v>35-51-42</v>
      </c>
      <c r="N121" s="45">
        <v>40544</v>
      </c>
      <c r="O121" s="42" t="s">
        <v>38</v>
      </c>
      <c r="P121" s="46">
        <v>32.868000000000002</v>
      </c>
      <c r="Q121" s="46">
        <v>40.868000000000002</v>
      </c>
      <c r="R121" s="85">
        <v>9</v>
      </c>
      <c r="S121" s="41" t="str">
        <f>IF(COUNTA(#REF!)=1,"유","무")</f>
        <v>유</v>
      </c>
      <c r="T121" s="86">
        <v>1386.9</v>
      </c>
      <c r="U121" s="86">
        <v>36.71</v>
      </c>
      <c r="V121" s="42" t="s">
        <v>39</v>
      </c>
    </row>
    <row r="122" spans="1:22" ht="27" customHeight="1" x14ac:dyDescent="0.15">
      <c r="A122" s="145">
        <v>116</v>
      </c>
      <c r="B122" s="42">
        <v>2012660</v>
      </c>
      <c r="C122" s="42" t="s">
        <v>884</v>
      </c>
      <c r="D122" s="42" t="s">
        <v>1564</v>
      </c>
      <c r="E122" s="42" t="s">
        <v>46</v>
      </c>
      <c r="F122" s="42" t="s">
        <v>109</v>
      </c>
      <c r="G122" s="75" t="s">
        <v>37</v>
      </c>
      <c r="H122" s="42" t="s">
        <v>82</v>
      </c>
      <c r="I122" s="42" t="s">
        <v>1479</v>
      </c>
      <c r="J122" s="43" t="s">
        <v>587</v>
      </c>
      <c r="K122" s="8" t="str">
        <f t="shared" si="6"/>
        <v>128-38-04</v>
      </c>
      <c r="L122" s="44" t="s">
        <v>740</v>
      </c>
      <c r="M122" s="8" t="str">
        <f t="shared" si="5"/>
        <v>35-53-30</v>
      </c>
      <c r="N122" s="45">
        <v>8553</v>
      </c>
      <c r="O122" s="42" t="s">
        <v>38</v>
      </c>
      <c r="P122" s="46">
        <v>24.934999999999999</v>
      </c>
      <c r="Q122" s="46">
        <v>35.520000000000003</v>
      </c>
      <c r="R122" s="85">
        <v>8</v>
      </c>
      <c r="S122" s="41" t="str">
        <f>IF(COUNTA(#REF!)=1,"유","무")</f>
        <v>유</v>
      </c>
      <c r="T122" s="86">
        <v>1537.72</v>
      </c>
      <c r="U122" s="86">
        <v>27.27</v>
      </c>
      <c r="V122" s="42" t="s">
        <v>39</v>
      </c>
    </row>
    <row r="123" spans="1:22" ht="27" customHeight="1" x14ac:dyDescent="0.15">
      <c r="A123" s="145">
        <v>117</v>
      </c>
      <c r="B123" s="42">
        <v>2012661</v>
      </c>
      <c r="C123" s="42" t="s">
        <v>1781</v>
      </c>
      <c r="D123" s="42" t="s">
        <v>1876</v>
      </c>
      <c r="E123" s="42" t="s">
        <v>46</v>
      </c>
      <c r="F123" s="42" t="s">
        <v>1966</v>
      </c>
      <c r="G123" s="75" t="s">
        <v>507</v>
      </c>
      <c r="H123" s="42" t="s">
        <v>2299</v>
      </c>
      <c r="I123" s="42" t="s">
        <v>2223</v>
      </c>
      <c r="J123" s="8" t="s">
        <v>2030</v>
      </c>
      <c r="K123" s="8" t="str">
        <f>LEFT(TRIM(J123),7)&amp;TEXT(ROUND(RIGHT(TRIM(J123),LEN(TRIM(J123))-7),0),"00")</f>
        <v>128-36-41</v>
      </c>
      <c r="L123" s="8" t="s">
        <v>2125</v>
      </c>
      <c r="M123" s="8" t="str">
        <f>LEFT(TRIM(L123),6)&amp;TEXT(ROUND(RIGHT(TRIM(L123),LEN(TRIM(L123))-6),0),"00")</f>
        <v>35-52-29</v>
      </c>
      <c r="N123" s="45">
        <v>45658</v>
      </c>
      <c r="O123" s="42"/>
      <c r="P123" s="46">
        <v>34.104999999999997</v>
      </c>
      <c r="Q123" s="47">
        <v>41.55</v>
      </c>
      <c r="R123" s="85">
        <v>6.4</v>
      </c>
      <c r="S123" s="41" t="str">
        <f>IF(COUNTA(#REF!)=1,"유","무")</f>
        <v>유</v>
      </c>
      <c r="T123" s="86">
        <v>149.22399999999999</v>
      </c>
      <c r="U123" s="86">
        <v>4.3259999999999996</v>
      </c>
      <c r="V123" s="42"/>
    </row>
    <row r="124" spans="1:22" ht="27" customHeight="1" x14ac:dyDescent="0.15">
      <c r="A124" s="145">
        <v>118</v>
      </c>
      <c r="B124" s="42">
        <v>2012662</v>
      </c>
      <c r="C124" s="42" t="s">
        <v>1775</v>
      </c>
      <c r="D124" s="42" t="s">
        <v>1870</v>
      </c>
      <c r="E124" s="42" t="s">
        <v>46</v>
      </c>
      <c r="F124" s="42" t="s">
        <v>1961</v>
      </c>
      <c r="G124" s="75" t="s">
        <v>37</v>
      </c>
      <c r="H124" s="42" t="s">
        <v>2299</v>
      </c>
      <c r="I124" s="42" t="s">
        <v>2217</v>
      </c>
      <c r="J124" s="8" t="s">
        <v>2024</v>
      </c>
      <c r="K124" s="8" t="str">
        <f>LEFT(TRIM(J124),7)&amp;TEXT(ROUND(RIGHT(TRIM(J124),LEN(TRIM(J124))-7),0),"00")</f>
        <v>128-37-54</v>
      </c>
      <c r="L124" s="8" t="s">
        <v>2119</v>
      </c>
      <c r="M124" s="8" t="str">
        <f>LEFT(TRIM(L124),6)&amp;TEXT(ROUND(RIGHT(TRIM(L124),LEN(TRIM(L124))-6),0),"00")</f>
        <v>35-54-02</v>
      </c>
      <c r="N124" s="45">
        <v>45658</v>
      </c>
      <c r="O124" s="42"/>
      <c r="P124" s="46">
        <v>24.885999999999999</v>
      </c>
      <c r="Q124" s="47">
        <v>31.422999999999998</v>
      </c>
      <c r="R124" s="85">
        <v>6</v>
      </c>
      <c r="S124" s="41" t="str">
        <f>IF(COUNTA(#REF!)=1,"유","무")</f>
        <v>유</v>
      </c>
      <c r="T124" s="86">
        <v>4.5570000000000004</v>
      </c>
      <c r="U124" s="86">
        <v>0.91300000000000003</v>
      </c>
      <c r="V124" s="42"/>
    </row>
    <row r="125" spans="1:22" ht="27" customHeight="1" x14ac:dyDescent="0.15">
      <c r="A125" s="145">
        <v>119</v>
      </c>
      <c r="B125" s="42">
        <v>2012663</v>
      </c>
      <c r="C125" s="42" t="s">
        <v>1778</v>
      </c>
      <c r="D125" s="42" t="s">
        <v>1873</v>
      </c>
      <c r="E125" s="42" t="s">
        <v>46</v>
      </c>
      <c r="F125" s="42" t="s">
        <v>1964</v>
      </c>
      <c r="G125" s="75" t="s">
        <v>37</v>
      </c>
      <c r="H125" s="42" t="s">
        <v>2299</v>
      </c>
      <c r="I125" s="42" t="s">
        <v>2220</v>
      </c>
      <c r="J125" s="8" t="s">
        <v>2027</v>
      </c>
      <c r="K125" s="8" t="str">
        <f>LEFT(TRIM(J125),7)&amp;TEXT(ROUND(RIGHT(TRIM(J125),LEN(TRIM(J125))-7),0),"00")</f>
        <v>128-38-18</v>
      </c>
      <c r="L125" s="8" t="s">
        <v>2122</v>
      </c>
      <c r="M125" s="8" t="str">
        <f>LEFT(TRIM(L125),6)&amp;TEXT(ROUND(RIGHT(TRIM(L125),LEN(TRIM(L125))-6),0),"00")</f>
        <v>35-54-34</v>
      </c>
      <c r="N125" s="45">
        <v>45658</v>
      </c>
      <c r="O125" s="42"/>
      <c r="P125" s="46">
        <v>28.635999999999999</v>
      </c>
      <c r="Q125" s="47">
        <v>34.328000000000003</v>
      </c>
      <c r="R125" s="85">
        <v>6</v>
      </c>
      <c r="S125" s="41" t="str">
        <f>IF(COUNTA(#REF!)=1,"유","무")</f>
        <v>유</v>
      </c>
      <c r="T125" s="86">
        <v>19.613</v>
      </c>
      <c r="U125" s="86">
        <v>0.66700000000000004</v>
      </c>
      <c r="V125" s="42"/>
    </row>
    <row r="126" spans="1:22" ht="27" customHeight="1" x14ac:dyDescent="0.15">
      <c r="A126" s="145">
        <v>120</v>
      </c>
      <c r="B126" s="42">
        <v>2012664</v>
      </c>
      <c r="C126" s="42" t="s">
        <v>1780</v>
      </c>
      <c r="D126" s="42" t="s">
        <v>1875</v>
      </c>
      <c r="E126" s="42" t="s">
        <v>46</v>
      </c>
      <c r="F126" s="42" t="s">
        <v>2291</v>
      </c>
      <c r="G126" s="75" t="s">
        <v>37</v>
      </c>
      <c r="H126" s="42" t="s">
        <v>2300</v>
      </c>
      <c r="I126" s="42" t="s">
        <v>2222</v>
      </c>
      <c r="J126" s="8" t="s">
        <v>2029</v>
      </c>
      <c r="K126" s="8" t="str">
        <f>LEFT(TRIM(J126),7)&amp;TEXT(ROUND(RIGHT(TRIM(J126),LEN(TRIM(J126))-7),0),"00")</f>
        <v>128-36-48</v>
      </c>
      <c r="L126" s="8" t="s">
        <v>2124</v>
      </c>
      <c r="M126" s="8" t="str">
        <f>LEFT(TRIM(L126),6)&amp;TEXT(ROUND(RIGHT(TRIM(L126),LEN(TRIM(L126))-6),0),"00")</f>
        <v>35-52-02</v>
      </c>
      <c r="N126" s="45">
        <v>45658</v>
      </c>
      <c r="O126" s="42"/>
      <c r="P126" s="46">
        <v>36.694000000000003</v>
      </c>
      <c r="Q126" s="47">
        <v>43.707999999999998</v>
      </c>
      <c r="R126" s="85">
        <v>7</v>
      </c>
      <c r="S126" s="41" t="str">
        <f>IF(COUNTA(#REF!)=1,"유","무")</f>
        <v>유</v>
      </c>
      <c r="T126" s="86">
        <v>148.73500000000001</v>
      </c>
      <c r="U126" s="86">
        <v>4.968</v>
      </c>
      <c r="V126" s="42"/>
    </row>
    <row r="127" spans="1:22" ht="27" customHeight="1" x14ac:dyDescent="0.15">
      <c r="A127" s="145">
        <v>121</v>
      </c>
      <c r="B127" s="42">
        <v>2012665</v>
      </c>
      <c r="C127" s="42" t="s">
        <v>405</v>
      </c>
      <c r="D127" s="42" t="s">
        <v>1565</v>
      </c>
      <c r="E127" s="42" t="s">
        <v>46</v>
      </c>
      <c r="F127" s="42" t="s">
        <v>121</v>
      </c>
      <c r="G127" s="75" t="s">
        <v>37</v>
      </c>
      <c r="H127" s="42" t="s">
        <v>40</v>
      </c>
      <c r="I127" s="42" t="s">
        <v>267</v>
      </c>
      <c r="J127" s="43" t="s">
        <v>588</v>
      </c>
      <c r="K127" s="8" t="str">
        <f t="shared" si="6"/>
        <v>128-36-01</v>
      </c>
      <c r="L127" s="44" t="s">
        <v>741</v>
      </c>
      <c r="M127" s="8" t="str">
        <f t="shared" si="5"/>
        <v>35-54-59</v>
      </c>
      <c r="N127" s="45">
        <v>37294</v>
      </c>
      <c r="O127" s="42" t="s">
        <v>38</v>
      </c>
      <c r="P127" s="46">
        <v>23.774000000000001</v>
      </c>
      <c r="Q127" s="46">
        <v>31.324999999999999</v>
      </c>
      <c r="R127" s="85">
        <v>4</v>
      </c>
      <c r="S127" s="41" t="str">
        <f>IF(COUNTA(#REF!)=1,"유","무")</f>
        <v>유</v>
      </c>
      <c r="T127" s="86">
        <v>98.8</v>
      </c>
      <c r="U127" s="86">
        <v>0.28000000000000003</v>
      </c>
      <c r="V127" s="42" t="s">
        <v>39</v>
      </c>
    </row>
    <row r="128" spans="1:22" ht="27" customHeight="1" x14ac:dyDescent="0.15">
      <c r="A128" s="145">
        <v>122</v>
      </c>
      <c r="B128" s="42">
        <v>2012666</v>
      </c>
      <c r="C128" s="42" t="s">
        <v>1302</v>
      </c>
      <c r="D128" s="42" t="s">
        <v>1566</v>
      </c>
      <c r="E128" s="42" t="s">
        <v>46</v>
      </c>
      <c r="F128" s="42" t="s">
        <v>109</v>
      </c>
      <c r="G128" s="75" t="s">
        <v>37</v>
      </c>
      <c r="H128" s="42" t="s">
        <v>87</v>
      </c>
      <c r="I128" s="42" t="s">
        <v>1347</v>
      </c>
      <c r="J128" s="43" t="s">
        <v>1307</v>
      </c>
      <c r="K128" s="8" t="str">
        <f t="shared" si="6"/>
        <v>128-33-54</v>
      </c>
      <c r="L128" s="44" t="s">
        <v>1308</v>
      </c>
      <c r="M128" s="8" t="str">
        <f t="shared" si="5"/>
        <v>35-54-08</v>
      </c>
      <c r="N128" s="45">
        <v>44470</v>
      </c>
      <c r="O128" s="42" t="s">
        <v>38</v>
      </c>
      <c r="P128" s="46">
        <v>17.279</v>
      </c>
      <c r="Q128" s="46">
        <v>23.855</v>
      </c>
      <c r="R128" s="85">
        <v>8.9</v>
      </c>
      <c r="S128" s="41" t="str">
        <f>IF(COUNTA(#REF!)=1,"유","무")</f>
        <v>유</v>
      </c>
      <c r="T128" s="86">
        <v>1867.52</v>
      </c>
      <c r="U128" s="86">
        <v>15.91</v>
      </c>
      <c r="V128" s="42" t="s">
        <v>52</v>
      </c>
    </row>
    <row r="129" spans="1:22" ht="27" customHeight="1" x14ac:dyDescent="0.15">
      <c r="A129" s="145">
        <v>123</v>
      </c>
      <c r="B129" s="42">
        <v>2012667</v>
      </c>
      <c r="C129" s="42" t="s">
        <v>1782</v>
      </c>
      <c r="D129" s="42" t="s">
        <v>1877</v>
      </c>
      <c r="E129" s="42" t="s">
        <v>46</v>
      </c>
      <c r="F129" s="42" t="s">
        <v>44</v>
      </c>
      <c r="G129" s="75" t="s">
        <v>37</v>
      </c>
      <c r="H129" s="42" t="s">
        <v>2299</v>
      </c>
      <c r="I129" s="42" t="s">
        <v>2224</v>
      </c>
      <c r="J129" s="8" t="s">
        <v>2031</v>
      </c>
      <c r="K129" s="8" t="str">
        <f>LEFT(TRIM(J129),7)&amp;TEXT(ROUND(RIGHT(TRIM(J129),LEN(TRIM(J129))-7),0),"00")</f>
        <v>128-36-30</v>
      </c>
      <c r="L129" s="8" t="s">
        <v>2126</v>
      </c>
      <c r="M129" s="8" t="str">
        <f>LEFT(TRIM(L129),6)&amp;TEXT(ROUND(RIGHT(TRIM(L129),LEN(TRIM(L129))-6),0),"00")</f>
        <v>35-51-23</v>
      </c>
      <c r="N129" s="45">
        <v>45658</v>
      </c>
      <c r="O129" s="42"/>
      <c r="P129" s="46">
        <v>39.920999999999999</v>
      </c>
      <c r="Q129" s="47">
        <v>47.93</v>
      </c>
      <c r="R129" s="85">
        <v>7</v>
      </c>
      <c r="S129" s="41" t="str">
        <f>IF(COUNTA(#REF!)=1,"유","무")</f>
        <v>유</v>
      </c>
      <c r="T129" s="86">
        <v>120.999</v>
      </c>
      <c r="U129" s="86">
        <v>5.8739999999999997</v>
      </c>
      <c r="V129" s="42"/>
    </row>
    <row r="130" spans="1:22" ht="27" customHeight="1" x14ac:dyDescent="0.15">
      <c r="A130" s="145">
        <v>124</v>
      </c>
      <c r="B130" s="42">
        <v>2012670</v>
      </c>
      <c r="C130" s="42" t="s">
        <v>406</v>
      </c>
      <c r="D130" s="42" t="s">
        <v>1567</v>
      </c>
      <c r="E130" s="42" t="s">
        <v>46</v>
      </c>
      <c r="F130" s="42" t="s">
        <v>109</v>
      </c>
      <c r="G130" s="75" t="s">
        <v>37</v>
      </c>
      <c r="H130" s="42" t="s">
        <v>50</v>
      </c>
      <c r="I130" s="42" t="s">
        <v>268</v>
      </c>
      <c r="J130" s="43" t="s">
        <v>589</v>
      </c>
      <c r="K130" s="8" t="str">
        <f t="shared" si="6"/>
        <v>128-35-60</v>
      </c>
      <c r="L130" s="44" t="s">
        <v>742</v>
      </c>
      <c r="M130" s="8" t="str">
        <f t="shared" si="5"/>
        <v>35-54-32</v>
      </c>
      <c r="N130" s="45">
        <v>38742</v>
      </c>
      <c r="O130" s="42" t="s">
        <v>38</v>
      </c>
      <c r="P130" s="46">
        <v>21.109000000000002</v>
      </c>
      <c r="Q130" s="46">
        <v>31.757000000000001</v>
      </c>
      <c r="R130" s="85">
        <v>7.5</v>
      </c>
      <c r="S130" s="41" t="str">
        <f>IF(COUNTA(#REF!)=1,"유","무")</f>
        <v>유</v>
      </c>
      <c r="T130" s="86">
        <v>1695.37</v>
      </c>
      <c r="U130" s="86">
        <v>19.3</v>
      </c>
      <c r="V130" s="42" t="s">
        <v>39</v>
      </c>
    </row>
    <row r="131" spans="1:22" ht="27" customHeight="1" x14ac:dyDescent="0.15">
      <c r="A131" s="145">
        <v>125</v>
      </c>
      <c r="B131" s="42">
        <v>2012672</v>
      </c>
      <c r="C131" s="42" t="s">
        <v>1771</v>
      </c>
      <c r="D131" s="42" t="s">
        <v>1866</v>
      </c>
      <c r="E131" s="42" t="s">
        <v>46</v>
      </c>
      <c r="F131" s="42" t="s">
        <v>1958</v>
      </c>
      <c r="G131" s="75" t="s">
        <v>37</v>
      </c>
      <c r="H131" s="42" t="s">
        <v>2296</v>
      </c>
      <c r="I131" s="42" t="s">
        <v>2213</v>
      </c>
      <c r="J131" s="8" t="s">
        <v>2020</v>
      </c>
      <c r="K131" s="8" t="str">
        <f>LEFT(TRIM(J131),7)&amp;TEXT(ROUND(RIGHT(TRIM(J131),LEN(TRIM(J131))-7),0),"00")</f>
        <v>128-33-14</v>
      </c>
      <c r="L131" s="8" t="s">
        <v>2115</v>
      </c>
      <c r="M131" s="8" t="str">
        <f>LEFT(TRIM(L131),6)&amp;TEXT(ROUND(RIGHT(TRIM(L131),LEN(TRIM(L131))-6),0),"00")</f>
        <v>35-55-54</v>
      </c>
      <c r="N131" s="45">
        <v>45658</v>
      </c>
      <c r="O131" s="42"/>
      <c r="P131" s="46">
        <v>30.021999999999998</v>
      </c>
      <c r="Q131" s="47">
        <v>36.104999999999997</v>
      </c>
      <c r="R131" s="85">
        <v>5</v>
      </c>
      <c r="S131" s="41" t="str">
        <f>IF(COUNTA(#REF!)=1,"유","무")</f>
        <v>유</v>
      </c>
      <c r="T131" s="86">
        <v>75.132999999999996</v>
      </c>
      <c r="U131" s="86">
        <v>4.6980000000000004</v>
      </c>
      <c r="V131" s="42"/>
    </row>
    <row r="132" spans="1:22" ht="27" customHeight="1" x14ac:dyDescent="0.15">
      <c r="A132" s="145">
        <v>126</v>
      </c>
      <c r="B132" s="42">
        <v>2012674</v>
      </c>
      <c r="C132" s="42" t="s">
        <v>1779</v>
      </c>
      <c r="D132" s="42" t="s">
        <v>1874</v>
      </c>
      <c r="E132" s="42" t="s">
        <v>46</v>
      </c>
      <c r="F132" s="42" t="s">
        <v>1965</v>
      </c>
      <c r="G132" s="75" t="s">
        <v>37</v>
      </c>
      <c r="H132" s="42" t="s">
        <v>2299</v>
      </c>
      <c r="I132" s="42" t="s">
        <v>2221</v>
      </c>
      <c r="J132" s="8" t="s">
        <v>2028</v>
      </c>
      <c r="K132" s="8" t="str">
        <f>LEFT(TRIM(J132),7)&amp;TEXT(ROUND(RIGHT(TRIM(J132),LEN(TRIM(J132))-7),0),"00")</f>
        <v>128-32-11</v>
      </c>
      <c r="L132" s="8" t="s">
        <v>2123</v>
      </c>
      <c r="M132" s="8" t="str">
        <f>LEFT(TRIM(L132),6)&amp;TEXT(ROUND(RIGHT(TRIM(L132),LEN(TRIM(L132))-6),0),"00")</f>
        <v>35-53-04</v>
      </c>
      <c r="N132" s="45">
        <v>45658</v>
      </c>
      <c r="O132" s="42"/>
      <c r="P132" s="46">
        <v>17.957000000000001</v>
      </c>
      <c r="Q132" s="47">
        <v>28.757999999999999</v>
      </c>
      <c r="R132" s="85">
        <v>11</v>
      </c>
      <c r="S132" s="41" t="str">
        <f>IF(COUNTA(#REF!)=1,"유","무")</f>
        <v>유</v>
      </c>
      <c r="T132" s="86">
        <v>22.068999999999999</v>
      </c>
      <c r="U132" s="86">
        <v>0.78800000000000003</v>
      </c>
      <c r="V132" s="42"/>
    </row>
    <row r="133" spans="1:22" ht="27" customHeight="1" x14ac:dyDescent="0.15">
      <c r="A133" s="145">
        <v>127</v>
      </c>
      <c r="B133" s="42">
        <v>2012685</v>
      </c>
      <c r="C133" s="42" t="s">
        <v>1769</v>
      </c>
      <c r="D133" s="42" t="s">
        <v>1864</v>
      </c>
      <c r="E133" s="42" t="s">
        <v>46</v>
      </c>
      <c r="F133" s="42" t="s">
        <v>1956</v>
      </c>
      <c r="G133" s="75" t="s">
        <v>37</v>
      </c>
      <c r="H133" s="42" t="s">
        <v>2296</v>
      </c>
      <c r="I133" s="42" t="s">
        <v>2211</v>
      </c>
      <c r="J133" s="8" t="s">
        <v>2018</v>
      </c>
      <c r="K133" s="8" t="str">
        <f>LEFT(TRIM(J133),7)&amp;TEXT(ROUND(RIGHT(TRIM(J133),LEN(TRIM(J133))-7),0),"00")</f>
        <v>128-29-47</v>
      </c>
      <c r="L133" s="8" t="s">
        <v>2113</v>
      </c>
      <c r="M133" s="8" t="str">
        <f>LEFT(TRIM(L133),6)&amp;TEXT(ROUND(RIGHT(TRIM(L133),LEN(TRIM(L133))-6),0),"00")</f>
        <v>35-54-12</v>
      </c>
      <c r="N133" s="45">
        <v>45658</v>
      </c>
      <c r="O133" s="42"/>
      <c r="P133" s="46">
        <v>19.523</v>
      </c>
      <c r="Q133" s="47">
        <v>25.837</v>
      </c>
      <c r="R133" s="85">
        <v>4.4000000000000004</v>
      </c>
      <c r="S133" s="41" t="str">
        <f>IF(COUNTA(#REF!)=1,"유","무")</f>
        <v>유</v>
      </c>
      <c r="T133" s="86">
        <v>62.389000000000003</v>
      </c>
      <c r="U133" s="86">
        <v>2.254</v>
      </c>
      <c r="V133" s="42"/>
    </row>
    <row r="134" spans="1:22" ht="27" customHeight="1" x14ac:dyDescent="0.15">
      <c r="A134" s="145">
        <v>128</v>
      </c>
      <c r="B134" s="42">
        <v>2012690</v>
      </c>
      <c r="C134" s="42" t="s">
        <v>407</v>
      </c>
      <c r="D134" s="42" t="s">
        <v>1568</v>
      </c>
      <c r="E134" s="42" t="s">
        <v>46</v>
      </c>
      <c r="F134" s="42" t="s">
        <v>44</v>
      </c>
      <c r="G134" s="75" t="s">
        <v>37</v>
      </c>
      <c r="H134" s="42" t="s">
        <v>40</v>
      </c>
      <c r="I134" s="42" t="s">
        <v>269</v>
      </c>
      <c r="J134" s="43" t="s">
        <v>590</v>
      </c>
      <c r="K134" s="8" t="str">
        <f t="shared" si="6"/>
        <v>128-35-35</v>
      </c>
      <c r="L134" s="44" t="s">
        <v>743</v>
      </c>
      <c r="M134" s="8" t="str">
        <f t="shared" si="5"/>
        <v>35-53-35</v>
      </c>
      <c r="N134" s="45">
        <v>37357</v>
      </c>
      <c r="O134" s="42" t="s">
        <v>38</v>
      </c>
      <c r="P134" s="46">
        <v>24.728000000000002</v>
      </c>
      <c r="Q134" s="46">
        <v>33.158999999999999</v>
      </c>
      <c r="R134" s="85">
        <v>7</v>
      </c>
      <c r="S134" s="41" t="str">
        <f>IF(COUNTA(#REF!)=1,"유","무")</f>
        <v>유</v>
      </c>
      <c r="T134" s="86">
        <v>162.72</v>
      </c>
      <c r="U134" s="86">
        <v>1.1200000000000001</v>
      </c>
      <c r="V134" s="42" t="s">
        <v>39</v>
      </c>
    </row>
    <row r="135" spans="1:22" ht="27" customHeight="1" x14ac:dyDescent="0.15">
      <c r="A135" s="145">
        <v>129</v>
      </c>
      <c r="B135" s="42">
        <v>2012695</v>
      </c>
      <c r="C135" s="42" t="s">
        <v>408</v>
      </c>
      <c r="D135" s="42" t="s">
        <v>1569</v>
      </c>
      <c r="E135" s="42" t="s">
        <v>46</v>
      </c>
      <c r="F135" s="42" t="s">
        <v>109</v>
      </c>
      <c r="G135" s="75" t="s">
        <v>37</v>
      </c>
      <c r="H135" s="42" t="s">
        <v>98</v>
      </c>
      <c r="I135" s="42" t="s">
        <v>270</v>
      </c>
      <c r="J135" s="43" t="s">
        <v>591</v>
      </c>
      <c r="K135" s="8" t="str">
        <f t="shared" si="6"/>
        <v>128-28-18</v>
      </c>
      <c r="L135" s="44" t="s">
        <v>744</v>
      </c>
      <c r="M135" s="8" t="str">
        <f t="shared" si="5"/>
        <v>35-51-12</v>
      </c>
      <c r="N135" s="45">
        <v>22828</v>
      </c>
      <c r="O135" s="42" t="s">
        <v>38</v>
      </c>
      <c r="P135" s="46">
        <v>12.728999999999999</v>
      </c>
      <c r="Q135" s="46">
        <v>27.277000000000001</v>
      </c>
      <c r="R135" s="85">
        <v>12</v>
      </c>
      <c r="S135" s="41" t="str">
        <f>IF(COUNTA(#REF!)=1,"유","무")</f>
        <v>유</v>
      </c>
      <c r="T135" s="86">
        <v>2090.2199999999998</v>
      </c>
      <c r="U135" s="86">
        <v>1.22</v>
      </c>
      <c r="V135" s="42" t="s">
        <v>39</v>
      </c>
    </row>
    <row r="136" spans="1:22" ht="27" customHeight="1" x14ac:dyDescent="0.15">
      <c r="A136" s="145">
        <v>130</v>
      </c>
      <c r="B136" s="42">
        <v>2012696</v>
      </c>
      <c r="C136" s="42" t="s">
        <v>409</v>
      </c>
      <c r="D136" s="42" t="s">
        <v>1570</v>
      </c>
      <c r="E136" s="42" t="s">
        <v>46</v>
      </c>
      <c r="F136" s="42" t="s">
        <v>46</v>
      </c>
      <c r="G136" s="75" t="s">
        <v>37</v>
      </c>
      <c r="H136" s="42" t="s">
        <v>82</v>
      </c>
      <c r="I136" s="42" t="s">
        <v>271</v>
      </c>
      <c r="J136" s="43" t="s">
        <v>592</v>
      </c>
      <c r="K136" s="8" t="str">
        <f t="shared" si="6"/>
        <v>128-26-46</v>
      </c>
      <c r="L136" s="44" t="s">
        <v>745</v>
      </c>
      <c r="M136" s="8" t="str">
        <f t="shared" si="5"/>
        <v>35-50-58</v>
      </c>
      <c r="N136" s="45">
        <v>38832</v>
      </c>
      <c r="O136" s="42" t="s">
        <v>38</v>
      </c>
      <c r="P136" s="46">
        <v>13.023</v>
      </c>
      <c r="Q136" s="46">
        <v>26.766999999999999</v>
      </c>
      <c r="R136" s="85">
        <v>13</v>
      </c>
      <c r="S136" s="41" t="str">
        <f>IF(COUNTA(#REF!)=1,"유","무")</f>
        <v>유</v>
      </c>
      <c r="T136" s="86">
        <v>11663.98</v>
      </c>
      <c r="U136" s="86">
        <v>169.51499999999999</v>
      </c>
      <c r="V136" s="42" t="s">
        <v>39</v>
      </c>
    </row>
    <row r="137" spans="1:22" ht="27" customHeight="1" x14ac:dyDescent="0.15">
      <c r="A137" s="145">
        <v>131</v>
      </c>
      <c r="B137" s="42">
        <v>2013612</v>
      </c>
      <c r="C137" s="42" t="s">
        <v>1834</v>
      </c>
      <c r="D137" s="42" t="s">
        <v>1928</v>
      </c>
      <c r="E137" s="42" t="s">
        <v>46</v>
      </c>
      <c r="F137" s="42" t="s">
        <v>128</v>
      </c>
      <c r="G137" s="75" t="s">
        <v>507</v>
      </c>
      <c r="H137" s="42" t="s">
        <v>2300</v>
      </c>
      <c r="I137" s="42" t="s">
        <v>2275</v>
      </c>
      <c r="J137" s="8" t="s">
        <v>2083</v>
      </c>
      <c r="K137" s="8" t="str">
        <f>LEFT(TRIM(J137),7)&amp;TEXT(ROUND(RIGHT(TRIM(J137),LEN(TRIM(J137))-7),0),"00")</f>
        <v>128-08-45</v>
      </c>
      <c r="L137" s="8" t="s">
        <v>2178</v>
      </c>
      <c r="M137" s="8" t="str">
        <f>LEFT(TRIM(L137),6)&amp;TEXT(ROUND(RIGHT(TRIM(L137),LEN(TRIM(L137))-6),0),"00")</f>
        <v>35-54-29</v>
      </c>
      <c r="N137" s="45">
        <v>45658</v>
      </c>
      <c r="O137" s="42"/>
      <c r="P137" s="46">
        <v>158.34399999999999</v>
      </c>
      <c r="Q137" s="47">
        <v>192.30799999999999</v>
      </c>
      <c r="R137" s="85">
        <v>30</v>
      </c>
      <c r="S137" s="41" t="str">
        <f>IF(COUNTA(#REF!)=1,"유","무")</f>
        <v>유</v>
      </c>
      <c r="T137" s="86">
        <v>149.70500000000001</v>
      </c>
      <c r="U137" s="86">
        <v>22.085000000000001</v>
      </c>
      <c r="V137" s="42"/>
    </row>
    <row r="138" spans="1:22" ht="27" customHeight="1" x14ac:dyDescent="0.15">
      <c r="A138" s="145">
        <v>132</v>
      </c>
      <c r="B138" s="42">
        <v>2013615</v>
      </c>
      <c r="C138" s="42" t="s">
        <v>410</v>
      </c>
      <c r="D138" s="42" t="s">
        <v>1571</v>
      </c>
      <c r="E138" s="42" t="s">
        <v>46</v>
      </c>
      <c r="F138" s="42" t="s">
        <v>128</v>
      </c>
      <c r="G138" s="75" t="s">
        <v>37</v>
      </c>
      <c r="H138" s="42" t="s">
        <v>40</v>
      </c>
      <c r="I138" s="42" t="s">
        <v>272</v>
      </c>
      <c r="J138" s="43" t="s">
        <v>593</v>
      </c>
      <c r="K138" s="8" t="str">
        <f t="shared" si="6"/>
        <v>128-10-23</v>
      </c>
      <c r="L138" s="44" t="s">
        <v>746</v>
      </c>
      <c r="M138" s="8" t="str">
        <f t="shared" si="5"/>
        <v>35-52-51</v>
      </c>
      <c r="N138" s="45">
        <v>22828</v>
      </c>
      <c r="O138" s="42" t="s">
        <v>38</v>
      </c>
      <c r="P138" s="46">
        <v>112.48699999999999</v>
      </c>
      <c r="Q138" s="46">
        <v>120.155</v>
      </c>
      <c r="R138" s="85">
        <v>8</v>
      </c>
      <c r="S138" s="41" t="str">
        <f>IF(COUNTA(#REF!)=1,"유","무")</f>
        <v>유</v>
      </c>
      <c r="T138" s="86">
        <v>170.33</v>
      </c>
      <c r="U138" s="86">
        <v>17.510000000000002</v>
      </c>
      <c r="V138" s="42" t="s">
        <v>43</v>
      </c>
    </row>
    <row r="139" spans="1:22" ht="27" customHeight="1" x14ac:dyDescent="0.15">
      <c r="A139" s="145">
        <v>133</v>
      </c>
      <c r="B139" s="42">
        <v>2013620</v>
      </c>
      <c r="C139" s="42" t="s">
        <v>411</v>
      </c>
      <c r="D139" s="42" t="s">
        <v>1572</v>
      </c>
      <c r="E139" s="42" t="s">
        <v>46</v>
      </c>
      <c r="F139" s="42" t="s">
        <v>130</v>
      </c>
      <c r="G139" s="75" t="s">
        <v>507</v>
      </c>
      <c r="H139" s="42" t="s">
        <v>50</v>
      </c>
      <c r="I139" s="42" t="s">
        <v>885</v>
      </c>
      <c r="J139" s="43" t="s">
        <v>594</v>
      </c>
      <c r="K139" s="8" t="str">
        <f t="shared" si="6"/>
        <v>128-10-46</v>
      </c>
      <c r="L139" s="44" t="s">
        <v>747</v>
      </c>
      <c r="M139" s="8" t="str">
        <f t="shared" si="5"/>
        <v>35-52-23</v>
      </c>
      <c r="N139" s="45">
        <v>39814</v>
      </c>
      <c r="O139" s="42" t="s">
        <v>38</v>
      </c>
      <c r="P139" s="46">
        <v>108.971</v>
      </c>
      <c r="Q139" s="46">
        <v>114.283</v>
      </c>
      <c r="R139" s="85">
        <v>5.5</v>
      </c>
      <c r="S139" s="41" t="str">
        <f>IF(COUNTA(#REF!)=1,"유","무")</f>
        <v>유</v>
      </c>
      <c r="T139" s="86">
        <v>42.47</v>
      </c>
      <c r="U139" s="86">
        <v>0.04</v>
      </c>
      <c r="V139" s="42" t="s">
        <v>43</v>
      </c>
    </row>
    <row r="140" spans="1:22" s="23" customFormat="1" ht="27" customHeight="1" x14ac:dyDescent="0.15">
      <c r="A140" s="145">
        <v>134</v>
      </c>
      <c r="B140" s="147">
        <v>2013629</v>
      </c>
      <c r="C140" s="41" t="s">
        <v>1369</v>
      </c>
      <c r="D140" s="41" t="s">
        <v>1573</v>
      </c>
      <c r="E140" s="42" t="s">
        <v>46</v>
      </c>
      <c r="F140" s="42" t="s">
        <v>1405</v>
      </c>
      <c r="G140" s="75" t="s">
        <v>37</v>
      </c>
      <c r="H140" s="42" t="s">
        <v>1752</v>
      </c>
      <c r="I140" s="41" t="s">
        <v>1454</v>
      </c>
      <c r="J140" s="13" t="s">
        <v>1384</v>
      </c>
      <c r="K140" s="13" t="str">
        <f>LEFT(TRIM(J140),7)&amp;TEXT(ROUND(RIGHT(TRIM(J140),LEN(TRIM(J140))-7),0),"00")</f>
        <v>128-15-54</v>
      </c>
      <c r="L140" s="13" t="s">
        <v>1393</v>
      </c>
      <c r="M140" s="8" t="str">
        <f>LEFT(TRIM(L140),6)&amp;TEXT(ROUND(RIGHT(TRIM(L140),LEN(TRIM(L140))-6),0),"00")</f>
        <v>35-47-43</v>
      </c>
      <c r="N140" s="52">
        <v>44935</v>
      </c>
      <c r="O140" s="42" t="s">
        <v>38</v>
      </c>
      <c r="P140" s="48">
        <v>42.348999999999997</v>
      </c>
      <c r="Q140" s="49">
        <v>52.445999999999998</v>
      </c>
      <c r="R140" s="50">
        <v>8</v>
      </c>
      <c r="S140" s="41" t="str">
        <f>IF(COUNTA(#REF!)=1,"유","무")</f>
        <v>유</v>
      </c>
      <c r="T140" s="51">
        <v>291.56700000000001</v>
      </c>
      <c r="U140" s="51">
        <v>26.218</v>
      </c>
      <c r="V140" s="41" t="s">
        <v>1460</v>
      </c>
    </row>
    <row r="141" spans="1:22" ht="27" customHeight="1" x14ac:dyDescent="0.15">
      <c r="A141" s="145">
        <v>135</v>
      </c>
      <c r="B141" s="42">
        <v>2013630</v>
      </c>
      <c r="C141" s="42" t="s">
        <v>412</v>
      </c>
      <c r="D141" s="42" t="s">
        <v>1574</v>
      </c>
      <c r="E141" s="42" t="s">
        <v>46</v>
      </c>
      <c r="F141" s="42" t="s">
        <v>132</v>
      </c>
      <c r="G141" s="75" t="s">
        <v>37</v>
      </c>
      <c r="H141" s="42" t="s">
        <v>50</v>
      </c>
      <c r="I141" s="42" t="s">
        <v>273</v>
      </c>
      <c r="J141" s="43" t="s">
        <v>595</v>
      </c>
      <c r="K141" s="8" t="str">
        <f t="shared" si="6"/>
        <v>128-10-12</v>
      </c>
      <c r="L141" s="44" t="s">
        <v>748</v>
      </c>
      <c r="M141" s="8" t="str">
        <f t="shared" si="5"/>
        <v>35-42-26</v>
      </c>
      <c r="N141" s="45">
        <v>42005</v>
      </c>
      <c r="O141" s="42" t="s">
        <v>38</v>
      </c>
      <c r="P141" s="46">
        <v>101.19</v>
      </c>
      <c r="Q141" s="46">
        <v>107.88</v>
      </c>
      <c r="R141" s="85">
        <v>5</v>
      </c>
      <c r="S141" s="41" t="str">
        <f>IF(COUNTA(#REF!)=1,"유","무")</f>
        <v>유</v>
      </c>
      <c r="T141" s="86">
        <v>125.94</v>
      </c>
      <c r="U141" s="86">
        <v>6.77</v>
      </c>
      <c r="V141" s="42" t="s">
        <v>43</v>
      </c>
    </row>
    <row r="142" spans="1:22" ht="27" customHeight="1" x14ac:dyDescent="0.15">
      <c r="A142" s="145">
        <v>136</v>
      </c>
      <c r="B142" s="42">
        <v>2013634</v>
      </c>
      <c r="C142" s="42" t="s">
        <v>1829</v>
      </c>
      <c r="D142" s="42" t="s">
        <v>1923</v>
      </c>
      <c r="E142" s="42" t="s">
        <v>46</v>
      </c>
      <c r="F142" s="42" t="s">
        <v>1997</v>
      </c>
      <c r="G142" s="75" t="s">
        <v>37</v>
      </c>
      <c r="H142" s="42" t="s">
        <v>2299</v>
      </c>
      <c r="I142" s="42" t="s">
        <v>2294</v>
      </c>
      <c r="J142" s="8" t="s">
        <v>2078</v>
      </c>
      <c r="K142" s="8" t="str">
        <f>LEFT(TRIM(J142),7)&amp;TEXT(ROUND(RIGHT(TRIM(J142),LEN(TRIM(J142))-7),0),"00")</f>
        <v>128-10-40</v>
      </c>
      <c r="L142" s="8" t="s">
        <v>2173</v>
      </c>
      <c r="M142" s="8" t="str">
        <f>LEFT(TRIM(L142),6)&amp;TEXT(ROUND(RIGHT(TRIM(L142),LEN(TRIM(L142))-6),0),"00")</f>
        <v>35-40-26</v>
      </c>
      <c r="N142" s="45">
        <v>45658</v>
      </c>
      <c r="O142" s="42"/>
      <c r="P142" s="46">
        <v>68.667000000000002</v>
      </c>
      <c r="Q142" s="47">
        <v>86.001000000000005</v>
      </c>
      <c r="R142" s="85">
        <v>4</v>
      </c>
      <c r="S142" s="41" t="str">
        <f>IF(COUNTA(#REF!)=1,"유","무")</f>
        <v>유</v>
      </c>
      <c r="T142" s="86">
        <v>56.277000000000001</v>
      </c>
      <c r="U142" s="86">
        <v>0.81599999999999995</v>
      </c>
      <c r="V142" s="42"/>
    </row>
    <row r="143" spans="1:22" ht="27" customHeight="1" x14ac:dyDescent="0.15">
      <c r="A143" s="145">
        <v>137</v>
      </c>
      <c r="B143" s="42">
        <v>2013640</v>
      </c>
      <c r="C143" s="42" t="s">
        <v>413</v>
      </c>
      <c r="D143" s="42" t="s">
        <v>1575</v>
      </c>
      <c r="E143" s="42" t="s">
        <v>46</v>
      </c>
      <c r="F143" s="42" t="s">
        <v>134</v>
      </c>
      <c r="G143" s="75" t="s">
        <v>37</v>
      </c>
      <c r="H143" s="42" t="s">
        <v>40</v>
      </c>
      <c r="I143" s="42" t="s">
        <v>274</v>
      </c>
      <c r="J143" s="43" t="s">
        <v>596</v>
      </c>
      <c r="K143" s="8" t="str">
        <f t="shared" si="6"/>
        <v>128-14-21</v>
      </c>
      <c r="L143" s="44" t="s">
        <v>749</v>
      </c>
      <c r="M143" s="8" t="str">
        <f t="shared" si="5"/>
        <v>35-40-33</v>
      </c>
      <c r="N143" s="45">
        <v>40909</v>
      </c>
      <c r="O143" s="42" t="s">
        <v>38</v>
      </c>
      <c r="P143" s="46">
        <v>38.792999999999999</v>
      </c>
      <c r="Q143" s="46">
        <v>46.661000000000001</v>
      </c>
      <c r="R143" s="85">
        <v>8</v>
      </c>
      <c r="S143" s="41" t="str">
        <f>IF(COUNTA(#REF!)=1,"유","무")</f>
        <v>유</v>
      </c>
      <c r="T143" s="86">
        <v>220.32</v>
      </c>
      <c r="U143" s="86">
        <v>7.8</v>
      </c>
      <c r="V143" s="42" t="s">
        <v>39</v>
      </c>
    </row>
    <row r="144" spans="1:22" ht="27" customHeight="1" x14ac:dyDescent="0.15">
      <c r="A144" s="145">
        <v>138</v>
      </c>
      <c r="B144" s="42">
        <v>2013650</v>
      </c>
      <c r="C144" s="42" t="s">
        <v>414</v>
      </c>
      <c r="D144" s="42" t="s">
        <v>1576</v>
      </c>
      <c r="E144" s="42" t="s">
        <v>46</v>
      </c>
      <c r="F144" s="42" t="s">
        <v>136</v>
      </c>
      <c r="G144" s="75" t="s">
        <v>37</v>
      </c>
      <c r="H144" s="42" t="s">
        <v>82</v>
      </c>
      <c r="I144" s="42" t="s">
        <v>275</v>
      </c>
      <c r="J144" s="43" t="s">
        <v>597</v>
      </c>
      <c r="K144" s="8" t="str">
        <f t="shared" si="6"/>
        <v>128-16-40</v>
      </c>
      <c r="L144" s="44" t="s">
        <v>750</v>
      </c>
      <c r="M144" s="8" t="str">
        <f t="shared" si="5"/>
        <v>35-43-45</v>
      </c>
      <c r="N144" s="45">
        <v>22828</v>
      </c>
      <c r="O144" s="42" t="s">
        <v>38</v>
      </c>
      <c r="P144" s="46">
        <v>22.632000000000001</v>
      </c>
      <c r="Q144" s="46">
        <v>32.043999999999997</v>
      </c>
      <c r="R144" s="85">
        <v>8</v>
      </c>
      <c r="S144" s="41" t="str">
        <f>IF(COUNTA(#REF!)=1,"유","무")</f>
        <v>유</v>
      </c>
      <c r="T144" s="86">
        <v>428.92</v>
      </c>
      <c r="U144" s="86">
        <v>17.52</v>
      </c>
      <c r="V144" s="42" t="s">
        <v>39</v>
      </c>
    </row>
    <row r="145" spans="1:22" ht="27" customHeight="1" x14ac:dyDescent="0.15">
      <c r="A145" s="145">
        <v>139</v>
      </c>
      <c r="B145" s="42">
        <v>2013685</v>
      </c>
      <c r="C145" s="42" t="s">
        <v>415</v>
      </c>
      <c r="D145" s="42" t="s">
        <v>1577</v>
      </c>
      <c r="E145" s="42" t="s">
        <v>46</v>
      </c>
      <c r="F145" s="42" t="s">
        <v>136</v>
      </c>
      <c r="G145" s="75" t="s">
        <v>507</v>
      </c>
      <c r="H145" s="42" t="s">
        <v>82</v>
      </c>
      <c r="I145" s="42" t="s">
        <v>276</v>
      </c>
      <c r="J145" s="43" t="s">
        <v>598</v>
      </c>
      <c r="K145" s="8" t="str">
        <f t="shared" si="6"/>
        <v>128-19-18</v>
      </c>
      <c r="L145" s="44" t="s">
        <v>751</v>
      </c>
      <c r="M145" s="8" t="str">
        <f t="shared" si="5"/>
        <v>35-42-02</v>
      </c>
      <c r="N145" s="45">
        <v>24838</v>
      </c>
      <c r="O145" s="42" t="s">
        <v>38</v>
      </c>
      <c r="P145" s="46">
        <v>12.778</v>
      </c>
      <c r="Q145" s="46">
        <v>23.37</v>
      </c>
      <c r="R145" s="85">
        <v>7</v>
      </c>
      <c r="S145" s="41" t="str">
        <f>IF(COUNTA(#REF!)=1,"유","무")</f>
        <v>유</v>
      </c>
      <c r="T145" s="86">
        <v>744.78</v>
      </c>
      <c r="U145" s="86">
        <v>11.41</v>
      </c>
      <c r="V145" s="42" t="s">
        <v>926</v>
      </c>
    </row>
    <row r="146" spans="1:22" ht="27" customHeight="1" x14ac:dyDescent="0.15">
      <c r="A146" s="145">
        <v>140</v>
      </c>
      <c r="B146" s="42">
        <v>2013690</v>
      </c>
      <c r="C146" s="42" t="s">
        <v>416</v>
      </c>
      <c r="D146" s="42" t="s">
        <v>1578</v>
      </c>
      <c r="E146" s="42" t="s">
        <v>46</v>
      </c>
      <c r="F146" s="42" t="s">
        <v>136</v>
      </c>
      <c r="G146" s="75" t="s">
        <v>37</v>
      </c>
      <c r="H146" s="42" t="s">
        <v>98</v>
      </c>
      <c r="I146" s="42" t="s">
        <v>277</v>
      </c>
      <c r="J146" s="43" t="s">
        <v>599</v>
      </c>
      <c r="K146" s="8" t="str">
        <f t="shared" si="6"/>
        <v>128-20-16</v>
      </c>
      <c r="L146" s="44" t="s">
        <v>752</v>
      </c>
      <c r="M146" s="8" t="str">
        <f t="shared" si="5"/>
        <v>35-40-45</v>
      </c>
      <c r="N146" s="45">
        <v>37764</v>
      </c>
      <c r="O146" s="42" t="s">
        <v>38</v>
      </c>
      <c r="P146" s="46">
        <v>10.724</v>
      </c>
      <c r="Q146" s="46">
        <v>22.131</v>
      </c>
      <c r="R146" s="85">
        <v>13</v>
      </c>
      <c r="S146" s="41" t="str">
        <f>IF(COUNTA(#REF!)=1,"유","무")</f>
        <v>유</v>
      </c>
      <c r="T146" s="86">
        <v>749.77</v>
      </c>
      <c r="U146" s="86">
        <v>8.2100000000000009</v>
      </c>
      <c r="V146" s="42" t="s">
        <v>39</v>
      </c>
    </row>
    <row r="147" spans="1:22" ht="27" customHeight="1" x14ac:dyDescent="0.15">
      <c r="A147" s="145">
        <v>141</v>
      </c>
      <c r="B147" s="42">
        <v>2014617</v>
      </c>
      <c r="C147" s="42" t="s">
        <v>1777</v>
      </c>
      <c r="D147" s="42" t="s">
        <v>1872</v>
      </c>
      <c r="E147" s="42" t="s">
        <v>46</v>
      </c>
      <c r="F147" s="42" t="s">
        <v>1963</v>
      </c>
      <c r="G147" s="75" t="s">
        <v>37</v>
      </c>
      <c r="H147" s="42" t="s">
        <v>2300</v>
      </c>
      <c r="I147" s="42" t="s">
        <v>2219</v>
      </c>
      <c r="J147" s="8" t="s">
        <v>2026</v>
      </c>
      <c r="K147" s="8" t="str">
        <f>LEFT(TRIM(J147),7)&amp;TEXT(ROUND(RIGHT(TRIM(J147),LEN(TRIM(J147))-7),0),"00")</f>
        <v>128-29-31</v>
      </c>
      <c r="L147" s="8" t="s">
        <v>2121</v>
      </c>
      <c r="M147" s="8" t="str">
        <f>LEFT(TRIM(L147),6)&amp;TEXT(ROUND(RIGHT(TRIM(L147),LEN(TRIM(L147))-6),0),"00")</f>
        <v>35-49-07</v>
      </c>
      <c r="N147" s="45">
        <v>45658</v>
      </c>
      <c r="O147" s="42"/>
      <c r="P147" s="46">
        <v>11.757999999999999</v>
      </c>
      <c r="Q147" s="47">
        <v>25.353000000000002</v>
      </c>
      <c r="R147" s="85">
        <v>14</v>
      </c>
      <c r="S147" s="41" t="str">
        <f>IF(COUNTA(#REF!)=1,"유","무")</f>
        <v>유</v>
      </c>
      <c r="T147" s="86">
        <v>58.732999999999997</v>
      </c>
      <c r="U147" s="86">
        <v>0.94399999999999995</v>
      </c>
      <c r="V147" s="42"/>
    </row>
    <row r="148" spans="1:22" ht="27" customHeight="1" x14ac:dyDescent="0.15">
      <c r="A148" s="145">
        <v>142</v>
      </c>
      <c r="B148" s="42">
        <v>2014620</v>
      </c>
      <c r="C148" s="42" t="s">
        <v>417</v>
      </c>
      <c r="D148" s="42" t="s">
        <v>1579</v>
      </c>
      <c r="E148" s="42" t="s">
        <v>46</v>
      </c>
      <c r="F148" s="42" t="s">
        <v>46</v>
      </c>
      <c r="G148" s="75" t="s">
        <v>37</v>
      </c>
      <c r="H148" s="42" t="s">
        <v>98</v>
      </c>
      <c r="I148" s="42" t="s">
        <v>278</v>
      </c>
      <c r="J148" s="43" t="s">
        <v>600</v>
      </c>
      <c r="K148" s="8" t="str">
        <f t="shared" si="6"/>
        <v>128-28-27</v>
      </c>
      <c r="L148" s="44" t="s">
        <v>753</v>
      </c>
      <c r="M148" s="8" t="str">
        <f t="shared" si="5"/>
        <v>35-48-44</v>
      </c>
      <c r="N148" s="45">
        <v>34790</v>
      </c>
      <c r="O148" s="42" t="s">
        <v>38</v>
      </c>
      <c r="P148" s="46">
        <v>10.634</v>
      </c>
      <c r="Q148" s="46">
        <v>31.940999999999999</v>
      </c>
      <c r="R148" s="85">
        <v>16</v>
      </c>
      <c r="S148" s="41" t="str">
        <f>IF(COUNTA(#REF!)=1,"유","무")</f>
        <v>유</v>
      </c>
      <c r="T148" s="86">
        <v>13844.59</v>
      </c>
      <c r="U148" s="86">
        <v>163.62</v>
      </c>
      <c r="V148" s="42" t="s">
        <v>39</v>
      </c>
    </row>
    <row r="149" spans="1:22" ht="27" customHeight="1" x14ac:dyDescent="0.15">
      <c r="A149" s="145">
        <v>143</v>
      </c>
      <c r="B149" s="42">
        <v>2014640</v>
      </c>
      <c r="C149" s="42" t="s">
        <v>418</v>
      </c>
      <c r="D149" s="42" t="s">
        <v>1580</v>
      </c>
      <c r="E149" s="42" t="s">
        <v>46</v>
      </c>
      <c r="F149" s="42" t="s">
        <v>46</v>
      </c>
      <c r="G149" s="75" t="s">
        <v>37</v>
      </c>
      <c r="H149" s="42" t="s">
        <v>82</v>
      </c>
      <c r="I149" s="42" t="s">
        <v>279</v>
      </c>
      <c r="J149" s="43" t="s">
        <v>601</v>
      </c>
      <c r="K149" s="8" t="str">
        <f t="shared" si="6"/>
        <v>128-23-13</v>
      </c>
      <c r="L149" s="44" t="s">
        <v>754</v>
      </c>
      <c r="M149" s="8" t="str">
        <f t="shared" si="5"/>
        <v>35-45-10</v>
      </c>
      <c r="N149" s="45">
        <v>24838</v>
      </c>
      <c r="O149" s="42" t="s">
        <v>38</v>
      </c>
      <c r="P149" s="46">
        <v>10.602</v>
      </c>
      <c r="Q149" s="46">
        <v>29.661999999999999</v>
      </c>
      <c r="R149" s="85">
        <v>12</v>
      </c>
      <c r="S149" s="41" t="str">
        <f>IF(COUNTA(#REF!)=1,"유","무")</f>
        <v>유</v>
      </c>
      <c r="T149" s="86">
        <v>13972.04</v>
      </c>
      <c r="U149" s="86">
        <v>151.19999999999999</v>
      </c>
      <c r="V149" s="42" t="s">
        <v>39</v>
      </c>
    </row>
    <row r="150" spans="1:22" ht="27" customHeight="1" x14ac:dyDescent="0.15">
      <c r="A150" s="145">
        <v>144</v>
      </c>
      <c r="B150" s="42">
        <v>2014650</v>
      </c>
      <c r="C150" s="42" t="s">
        <v>419</v>
      </c>
      <c r="D150" s="42" t="s">
        <v>1581</v>
      </c>
      <c r="E150" s="42" t="s">
        <v>46</v>
      </c>
      <c r="F150" s="42" t="s">
        <v>46</v>
      </c>
      <c r="G150" s="75" t="s">
        <v>37</v>
      </c>
      <c r="H150" s="42" t="s">
        <v>499</v>
      </c>
      <c r="I150" s="42" t="s">
        <v>886</v>
      </c>
      <c r="J150" s="43" t="s">
        <v>602</v>
      </c>
      <c r="K150" s="8" t="str">
        <f t="shared" si="6"/>
        <v>128-24-11</v>
      </c>
      <c r="L150" s="44" t="s">
        <v>755</v>
      </c>
      <c r="M150" s="8" t="str">
        <f t="shared" si="5"/>
        <v>35-44-22</v>
      </c>
      <c r="N150" s="45">
        <v>40329</v>
      </c>
      <c r="O150" s="42" t="s">
        <v>38</v>
      </c>
      <c r="P150" s="46">
        <v>0</v>
      </c>
      <c r="Q150" s="46">
        <v>25.411000000000001</v>
      </c>
      <c r="R150" s="85">
        <v>20</v>
      </c>
      <c r="S150" s="41" t="str">
        <f>IF(COUNTA(#REF!)=1,"유","무")</f>
        <v>유</v>
      </c>
      <c r="T150" s="86">
        <v>14248</v>
      </c>
      <c r="U150" s="86">
        <v>149.07</v>
      </c>
      <c r="V150" s="42" t="s">
        <v>39</v>
      </c>
    </row>
    <row r="151" spans="1:22" ht="27" customHeight="1" x14ac:dyDescent="0.15">
      <c r="A151" s="145">
        <v>145</v>
      </c>
      <c r="B151" s="42">
        <v>2014651</v>
      </c>
      <c r="C151" s="42" t="s">
        <v>420</v>
      </c>
      <c r="D151" s="42" t="s">
        <v>1582</v>
      </c>
      <c r="E151" s="42" t="s">
        <v>46</v>
      </c>
      <c r="F151" s="42" t="s">
        <v>46</v>
      </c>
      <c r="G151" s="75" t="s">
        <v>37</v>
      </c>
      <c r="H151" s="42" t="s">
        <v>508</v>
      </c>
      <c r="I151" s="42" t="s">
        <v>887</v>
      </c>
      <c r="J151" s="43" t="s">
        <v>603</v>
      </c>
      <c r="K151" s="8" t="str">
        <f t="shared" si="6"/>
        <v>128-25-01</v>
      </c>
      <c r="L151" s="44" t="s">
        <v>756</v>
      </c>
      <c r="M151" s="8" t="str">
        <f t="shared" si="5"/>
        <v>35-43-49</v>
      </c>
      <c r="N151" s="45">
        <v>40695</v>
      </c>
      <c r="O151" s="42" t="s">
        <v>38</v>
      </c>
      <c r="P151" s="46">
        <v>0</v>
      </c>
      <c r="Q151" s="46">
        <v>25.731999999999999</v>
      </c>
      <c r="R151" s="85">
        <v>15</v>
      </c>
      <c r="S151" s="41" t="str">
        <f>IF(COUNTA(#REF!)=1,"유","무")</f>
        <v>유</v>
      </c>
      <c r="T151" s="86">
        <v>14248</v>
      </c>
      <c r="U151" s="86">
        <v>147.55500000000001</v>
      </c>
      <c r="V151" s="42" t="s">
        <v>43</v>
      </c>
    </row>
    <row r="152" spans="1:22" ht="27" customHeight="1" x14ac:dyDescent="0.15">
      <c r="A152" s="145">
        <v>146</v>
      </c>
      <c r="B152" s="42">
        <v>2014660</v>
      </c>
      <c r="C152" s="42" t="s">
        <v>421</v>
      </c>
      <c r="D152" s="42" t="s">
        <v>1583</v>
      </c>
      <c r="E152" s="42" t="s">
        <v>46</v>
      </c>
      <c r="F152" s="42" t="s">
        <v>46</v>
      </c>
      <c r="G152" s="75" t="s">
        <v>37</v>
      </c>
      <c r="H152" s="42" t="s">
        <v>98</v>
      </c>
      <c r="I152" s="42" t="s">
        <v>280</v>
      </c>
      <c r="J152" s="43" t="s">
        <v>604</v>
      </c>
      <c r="K152" s="8" t="str">
        <f t="shared" si="6"/>
        <v>128-26-03</v>
      </c>
      <c r="L152" s="44" t="s">
        <v>757</v>
      </c>
      <c r="M152" s="8" t="str">
        <f t="shared" si="5"/>
        <v>35-42-10</v>
      </c>
      <c r="N152" s="45">
        <v>6362</v>
      </c>
      <c r="O152" s="42" t="s">
        <v>38</v>
      </c>
      <c r="P152" s="46">
        <v>8.3000000000000007</v>
      </c>
      <c r="Q152" s="46">
        <v>24.047000000000001</v>
      </c>
      <c r="R152" s="85">
        <v>14</v>
      </c>
      <c r="S152" s="41" t="str">
        <f>IF(COUNTA(#REF!)=1,"유","무")</f>
        <v>유</v>
      </c>
      <c r="T152" s="86">
        <v>14041.34</v>
      </c>
      <c r="U152" s="86">
        <v>143.62</v>
      </c>
      <c r="V152" s="42" t="s">
        <v>39</v>
      </c>
    </row>
    <row r="153" spans="1:22" ht="27" customHeight="1" x14ac:dyDescent="0.15">
      <c r="A153" s="145">
        <v>147</v>
      </c>
      <c r="B153" s="42">
        <v>2014669</v>
      </c>
      <c r="C153" s="42" t="s">
        <v>1776</v>
      </c>
      <c r="D153" s="42" t="s">
        <v>1871</v>
      </c>
      <c r="E153" s="42" t="s">
        <v>46</v>
      </c>
      <c r="F153" s="42" t="s">
        <v>1962</v>
      </c>
      <c r="G153" s="75" t="s">
        <v>37</v>
      </c>
      <c r="H153" s="42" t="s">
        <v>2300</v>
      </c>
      <c r="I153" s="42" t="s">
        <v>2218</v>
      </c>
      <c r="J153" s="8" t="s">
        <v>2025</v>
      </c>
      <c r="K153" s="8" t="str">
        <f>LEFT(TRIM(J153),7)&amp;TEXT(ROUND(RIGHT(TRIM(J153),LEN(TRIM(J153))-7),0),"00")</f>
        <v>128-26-41</v>
      </c>
      <c r="L153" s="8" t="s">
        <v>2120</v>
      </c>
      <c r="M153" s="8" t="str">
        <f>LEFT(TRIM(L153),6)&amp;TEXT(ROUND(RIGHT(TRIM(L153),LEN(TRIM(L153))-6),0),"00")</f>
        <v>35-40-16</v>
      </c>
      <c r="N153" s="45">
        <v>45658</v>
      </c>
      <c r="O153" s="42"/>
      <c r="P153" s="46">
        <v>14.131</v>
      </c>
      <c r="Q153" s="47">
        <v>24.779</v>
      </c>
      <c r="R153" s="85">
        <v>8</v>
      </c>
      <c r="S153" s="41" t="str">
        <f>IF(COUNTA(#REF!)=1,"유","무")</f>
        <v>유</v>
      </c>
      <c r="T153" s="86">
        <v>73.153999999999996</v>
      </c>
      <c r="U153" s="86">
        <v>3.7320000000000002</v>
      </c>
      <c r="V153" s="42"/>
    </row>
    <row r="154" spans="1:22" ht="27" customHeight="1" x14ac:dyDescent="0.15">
      <c r="A154" s="145">
        <v>148</v>
      </c>
      <c r="B154" s="42">
        <v>2014680</v>
      </c>
      <c r="C154" s="42" t="s">
        <v>888</v>
      </c>
      <c r="D154" s="42" t="s">
        <v>1584</v>
      </c>
      <c r="E154" s="42" t="s">
        <v>46</v>
      </c>
      <c r="F154" s="42" t="s">
        <v>46</v>
      </c>
      <c r="G154" s="75" t="s">
        <v>37</v>
      </c>
      <c r="H154" s="42" t="s">
        <v>82</v>
      </c>
      <c r="I154" s="42" t="s">
        <v>281</v>
      </c>
      <c r="J154" s="43" t="s">
        <v>605</v>
      </c>
      <c r="K154" s="8" t="str">
        <f t="shared" si="6"/>
        <v>128-24-11</v>
      </c>
      <c r="L154" s="44" t="s">
        <v>758</v>
      </c>
      <c r="M154" s="8" t="str">
        <f t="shared" si="5"/>
        <v>35-38-01</v>
      </c>
      <c r="N154" s="45">
        <v>38833</v>
      </c>
      <c r="O154" s="42" t="s">
        <v>38</v>
      </c>
      <c r="P154" s="46">
        <v>4.5830000000000002</v>
      </c>
      <c r="Q154" s="46">
        <v>22.678000000000001</v>
      </c>
      <c r="R154" s="85">
        <v>16.399999999999999</v>
      </c>
      <c r="S154" s="41" t="str">
        <f>IF(COUNTA(#REF!)=1,"유","무")</f>
        <v>유</v>
      </c>
      <c r="T154" s="86">
        <v>14236.41</v>
      </c>
      <c r="U154" s="86">
        <v>126.29</v>
      </c>
      <c r="V154" s="42" t="s">
        <v>39</v>
      </c>
    </row>
    <row r="155" spans="1:22" ht="27" customHeight="1" x14ac:dyDescent="0.15">
      <c r="A155" s="145">
        <v>149</v>
      </c>
      <c r="B155" s="42">
        <v>2014690</v>
      </c>
      <c r="C155" s="42" t="s">
        <v>422</v>
      </c>
      <c r="D155" s="42" t="s">
        <v>1585</v>
      </c>
      <c r="E155" s="42" t="s">
        <v>46</v>
      </c>
      <c r="F155" s="42" t="s">
        <v>46</v>
      </c>
      <c r="G155" s="75" t="s">
        <v>37</v>
      </c>
      <c r="H155" s="42" t="s">
        <v>98</v>
      </c>
      <c r="I155" s="42" t="s">
        <v>282</v>
      </c>
      <c r="J155" s="43" t="s">
        <v>606</v>
      </c>
      <c r="K155" s="8" t="str">
        <f t="shared" si="6"/>
        <v>128-21-29</v>
      </c>
      <c r="L155" s="44" t="s">
        <v>759</v>
      </c>
      <c r="M155" s="8" t="str">
        <f t="shared" si="5"/>
        <v>35-36-45</v>
      </c>
      <c r="N155" s="45">
        <v>38742</v>
      </c>
      <c r="O155" s="42" t="s">
        <v>38</v>
      </c>
      <c r="P155" s="46">
        <v>4.1529999999999996</v>
      </c>
      <c r="Q155" s="46">
        <v>25.378</v>
      </c>
      <c r="R155" s="85">
        <v>16</v>
      </c>
      <c r="S155" s="41" t="str">
        <f>IF(COUNTA(#REF!)=1,"유","무")</f>
        <v>유</v>
      </c>
      <c r="T155" s="86">
        <v>15052.9</v>
      </c>
      <c r="U155" s="86">
        <v>121.15</v>
      </c>
      <c r="V155" s="42" t="s">
        <v>39</v>
      </c>
    </row>
    <row r="156" spans="1:22" ht="27" customHeight="1" x14ac:dyDescent="0.15">
      <c r="A156" s="145">
        <v>150</v>
      </c>
      <c r="B156" s="8">
        <v>2014697</v>
      </c>
      <c r="C156" s="42" t="s">
        <v>423</v>
      </c>
      <c r="D156" s="42" t="s">
        <v>1586</v>
      </c>
      <c r="E156" s="8" t="s">
        <v>46</v>
      </c>
      <c r="F156" s="8" t="s">
        <v>46</v>
      </c>
      <c r="G156" s="75" t="s">
        <v>37</v>
      </c>
      <c r="H156" s="42" t="s">
        <v>508</v>
      </c>
      <c r="I156" s="8" t="s">
        <v>890</v>
      </c>
      <c r="J156" s="43" t="s">
        <v>607</v>
      </c>
      <c r="K156" s="8" t="str">
        <f t="shared" si="6"/>
        <v>128-21-37</v>
      </c>
      <c r="L156" s="44" t="s">
        <v>760</v>
      </c>
      <c r="M156" s="8" t="str">
        <f t="shared" si="5"/>
        <v>35-35-42</v>
      </c>
      <c r="N156" s="83">
        <v>40935</v>
      </c>
      <c r="O156" s="8" t="s">
        <v>38</v>
      </c>
      <c r="P156" s="46">
        <v>0</v>
      </c>
      <c r="Q156" s="46">
        <v>21.77</v>
      </c>
      <c r="R156" s="8">
        <v>15</v>
      </c>
      <c r="S156" s="41" t="str">
        <f>IF(COUNTA(#REF!)=1,"유","무")</f>
        <v>유</v>
      </c>
      <c r="T156" s="84">
        <v>15074</v>
      </c>
      <c r="U156" s="84">
        <v>119.05</v>
      </c>
      <c r="V156" s="8" t="s">
        <v>43</v>
      </c>
    </row>
    <row r="157" spans="1:22" ht="27" customHeight="1" x14ac:dyDescent="0.15">
      <c r="A157" s="145">
        <v>151</v>
      </c>
      <c r="B157" s="8">
        <v>2014699</v>
      </c>
      <c r="C157" s="42" t="s">
        <v>424</v>
      </c>
      <c r="D157" s="42" t="s">
        <v>1587</v>
      </c>
      <c r="E157" s="8" t="s">
        <v>46</v>
      </c>
      <c r="F157" s="8" t="s">
        <v>46</v>
      </c>
      <c r="G157" s="75" t="s">
        <v>37</v>
      </c>
      <c r="H157" s="42" t="s">
        <v>499</v>
      </c>
      <c r="I157" s="8" t="s">
        <v>892</v>
      </c>
      <c r="J157" s="43" t="s">
        <v>608</v>
      </c>
      <c r="K157" s="8" t="str">
        <f t="shared" si="6"/>
        <v>128-21-17</v>
      </c>
      <c r="L157" s="44" t="s">
        <v>761</v>
      </c>
      <c r="M157" s="8" t="str">
        <f t="shared" si="5"/>
        <v>35-35-17</v>
      </c>
      <c r="N157" s="83">
        <v>40935</v>
      </c>
      <c r="O157" s="8" t="s">
        <v>38</v>
      </c>
      <c r="P157" s="46">
        <v>0</v>
      </c>
      <c r="Q157" s="46">
        <v>22.004000000000001</v>
      </c>
      <c r="R157" s="8">
        <v>10</v>
      </c>
      <c r="S157" s="41" t="str">
        <f>IF(COUNTA(#REF!)=1,"유","무")</f>
        <v>유</v>
      </c>
      <c r="T157" s="84">
        <v>15074</v>
      </c>
      <c r="U157" s="84">
        <v>118.212</v>
      </c>
      <c r="V157" s="8" t="s">
        <v>39</v>
      </c>
    </row>
    <row r="158" spans="1:22" ht="27" customHeight="1" x14ac:dyDescent="0.15">
      <c r="A158" s="145">
        <v>152</v>
      </c>
      <c r="B158" s="42">
        <v>2015623</v>
      </c>
      <c r="C158" s="42" t="s">
        <v>1788</v>
      </c>
      <c r="D158" s="42" t="s">
        <v>1883</v>
      </c>
      <c r="E158" s="42" t="s">
        <v>46</v>
      </c>
      <c r="F158" s="42" t="s">
        <v>927</v>
      </c>
      <c r="G158" s="75" t="s">
        <v>507</v>
      </c>
      <c r="H158" s="42" t="s">
        <v>2299</v>
      </c>
      <c r="I158" s="42" t="s">
        <v>2230</v>
      </c>
      <c r="J158" s="8" t="s">
        <v>2037</v>
      </c>
      <c r="K158" s="8" t="str">
        <f>LEFT(TRIM(J158),7)&amp;TEXT(ROUND(RIGHT(TRIM(J158),LEN(TRIM(J158))-7),0),"00")</f>
        <v>127-49-16</v>
      </c>
      <c r="L158" s="8" t="s">
        <v>2132</v>
      </c>
      <c r="M158" s="8" t="str">
        <f>LEFT(TRIM(L158),6)&amp;TEXT(ROUND(RIGHT(TRIM(L158),LEN(TRIM(L158))-6),0),"00")</f>
        <v>35-46-08</v>
      </c>
      <c r="N158" s="45">
        <v>45658</v>
      </c>
      <c r="O158" s="42"/>
      <c r="P158" s="46">
        <v>298.92</v>
      </c>
      <c r="Q158" s="47">
        <v>306.291</v>
      </c>
      <c r="R158" s="85">
        <v>5</v>
      </c>
      <c r="S158" s="41" t="str">
        <f>IF(COUNTA(#REF!)=1,"유","무")</f>
        <v>유</v>
      </c>
      <c r="T158" s="86">
        <v>122.157</v>
      </c>
      <c r="U158" s="86">
        <v>17.795000000000002</v>
      </c>
      <c r="V158" s="42"/>
    </row>
    <row r="159" spans="1:22" ht="27" customHeight="1" x14ac:dyDescent="0.15">
      <c r="A159" s="145">
        <v>153</v>
      </c>
      <c r="B159" s="42">
        <v>2015630</v>
      </c>
      <c r="C159" s="42" t="s">
        <v>893</v>
      </c>
      <c r="D159" s="42" t="s">
        <v>1588</v>
      </c>
      <c r="E159" s="42" t="s">
        <v>46</v>
      </c>
      <c r="F159" s="42" t="s">
        <v>145</v>
      </c>
      <c r="G159" s="75" t="s">
        <v>507</v>
      </c>
      <c r="H159" s="42" t="s">
        <v>495</v>
      </c>
      <c r="I159" s="42" t="s">
        <v>509</v>
      </c>
      <c r="J159" s="43" t="s">
        <v>609</v>
      </c>
      <c r="K159" s="8" t="str">
        <f t="shared" si="6"/>
        <v>127-56-25</v>
      </c>
      <c r="L159" s="44" t="s">
        <v>762</v>
      </c>
      <c r="M159" s="8" t="str">
        <f t="shared" si="5"/>
        <v>35-40-18</v>
      </c>
      <c r="N159" s="45">
        <v>40969</v>
      </c>
      <c r="O159" s="42" t="s">
        <v>38</v>
      </c>
      <c r="P159" s="46">
        <v>177.37299999999999</v>
      </c>
      <c r="Q159" s="46">
        <v>185.70699999999999</v>
      </c>
      <c r="R159" s="85">
        <v>8</v>
      </c>
      <c r="S159" s="41" t="str">
        <f>IF(COUNTA(#REF!)=1,"유","무")</f>
        <v>유</v>
      </c>
      <c r="T159" s="86">
        <v>459.6</v>
      </c>
      <c r="U159" s="86">
        <v>80.5</v>
      </c>
      <c r="V159" s="42" t="s">
        <v>39</v>
      </c>
    </row>
    <row r="160" spans="1:22" ht="27" customHeight="1" x14ac:dyDescent="0.15">
      <c r="A160" s="145">
        <v>154</v>
      </c>
      <c r="B160" s="42">
        <v>2016650</v>
      </c>
      <c r="C160" s="42" t="s">
        <v>501</v>
      </c>
      <c r="D160" s="42" t="s">
        <v>1589</v>
      </c>
      <c r="E160" s="42" t="s">
        <v>46</v>
      </c>
      <c r="F160" s="42" t="s">
        <v>145</v>
      </c>
      <c r="G160" s="75" t="s">
        <v>37</v>
      </c>
      <c r="H160" s="42" t="s">
        <v>98</v>
      </c>
      <c r="I160" s="42" t="s">
        <v>1319</v>
      </c>
      <c r="J160" s="43" t="s">
        <v>610</v>
      </c>
      <c r="K160" s="8" t="str">
        <f t="shared" si="6"/>
        <v>128-09-42</v>
      </c>
      <c r="L160" s="44" t="s">
        <v>763</v>
      </c>
      <c r="M160" s="8" t="str">
        <f t="shared" si="5"/>
        <v>35-33-27</v>
      </c>
      <c r="N160" s="45">
        <v>32051</v>
      </c>
      <c r="O160" s="42" t="s">
        <v>38</v>
      </c>
      <c r="P160" s="46">
        <v>29.75</v>
      </c>
      <c r="Q160" s="46">
        <v>38.08</v>
      </c>
      <c r="R160" s="85">
        <v>7</v>
      </c>
      <c r="S160" s="41" t="str">
        <f>IF(COUNTA(#REF!)=1,"유","무")</f>
        <v>유</v>
      </c>
      <c r="T160" s="86">
        <v>946.2</v>
      </c>
      <c r="U160" s="86">
        <v>33.9</v>
      </c>
      <c r="V160" s="42" t="s">
        <v>39</v>
      </c>
    </row>
    <row r="161" spans="1:22" ht="27" customHeight="1" x14ac:dyDescent="0.15">
      <c r="A161" s="145">
        <v>155</v>
      </c>
      <c r="B161" s="42">
        <v>2016660</v>
      </c>
      <c r="C161" s="42" t="s">
        <v>1343</v>
      </c>
      <c r="D161" s="42" t="s">
        <v>1590</v>
      </c>
      <c r="E161" s="42" t="s">
        <v>46</v>
      </c>
      <c r="F161" s="42" t="s">
        <v>145</v>
      </c>
      <c r="G161" s="75" t="s">
        <v>37</v>
      </c>
      <c r="H161" s="42" t="s">
        <v>1745</v>
      </c>
      <c r="I161" s="42" t="s">
        <v>1342</v>
      </c>
      <c r="J161" s="43" t="s">
        <v>1337</v>
      </c>
      <c r="K161" s="8" t="str">
        <f t="shared" si="6"/>
        <v>128-13-10</v>
      </c>
      <c r="L161" s="44" t="s">
        <v>1338</v>
      </c>
      <c r="M161" s="8" t="str">
        <f t="shared" si="5"/>
        <v>35-36-49</v>
      </c>
      <c r="N161" s="45">
        <v>44622</v>
      </c>
      <c r="O161" s="42" t="s">
        <v>38</v>
      </c>
      <c r="P161" s="46">
        <v>15.552</v>
      </c>
      <c r="Q161" s="46">
        <v>27.154</v>
      </c>
      <c r="R161" s="85">
        <v>8</v>
      </c>
      <c r="S161" s="41" t="str">
        <f>IF(COUNTA(#REF!)=1,"유","무")</f>
        <v>유</v>
      </c>
      <c r="T161" s="86">
        <v>1201.0809999999999</v>
      </c>
      <c r="U161" s="86">
        <v>19.43</v>
      </c>
      <c r="V161" s="42" t="s">
        <v>1460</v>
      </c>
    </row>
    <row r="162" spans="1:22" s="10" customFormat="1" ht="27" customHeight="1" x14ac:dyDescent="0.15">
      <c r="A162" s="145">
        <v>156</v>
      </c>
      <c r="B162" s="42">
        <v>2016680</v>
      </c>
      <c r="C162" s="42" t="s">
        <v>425</v>
      </c>
      <c r="D162" s="42" t="s">
        <v>1591</v>
      </c>
      <c r="E162" s="42" t="s">
        <v>46</v>
      </c>
      <c r="F162" s="42" t="s">
        <v>145</v>
      </c>
      <c r="G162" s="75" t="s">
        <v>37</v>
      </c>
      <c r="H162" s="42" t="s">
        <v>98</v>
      </c>
      <c r="I162" s="42" t="s">
        <v>283</v>
      </c>
      <c r="J162" s="43" t="s">
        <v>611</v>
      </c>
      <c r="K162" s="8" t="str">
        <f t="shared" si="6"/>
        <v>128-17-34</v>
      </c>
      <c r="L162" s="44" t="s">
        <v>764</v>
      </c>
      <c r="M162" s="8" t="str">
        <f t="shared" si="5"/>
        <v>35-34-19</v>
      </c>
      <c r="N162" s="45">
        <v>22828</v>
      </c>
      <c r="O162" s="42" t="s">
        <v>38</v>
      </c>
      <c r="P162" s="46">
        <v>8.2910000000000004</v>
      </c>
      <c r="Q162" s="46">
        <v>22.507999999999999</v>
      </c>
      <c r="R162" s="85">
        <v>10</v>
      </c>
      <c r="S162" s="41" t="str">
        <f>IF(COUNTA(#REF!)=1,"유","무")</f>
        <v>유</v>
      </c>
      <c r="T162" s="86">
        <v>1240.6600000000001</v>
      </c>
      <c r="U162" s="86">
        <v>7.7</v>
      </c>
      <c r="V162" s="42" t="s">
        <v>43</v>
      </c>
    </row>
    <row r="163" spans="1:22" ht="27" customHeight="1" x14ac:dyDescent="0.15">
      <c r="A163" s="145">
        <v>157</v>
      </c>
      <c r="B163" s="42">
        <v>2017620</v>
      </c>
      <c r="C163" s="42" t="s">
        <v>426</v>
      </c>
      <c r="D163" s="42" t="s">
        <v>1592</v>
      </c>
      <c r="E163" s="42" t="s">
        <v>46</v>
      </c>
      <c r="F163" s="42" t="s">
        <v>46</v>
      </c>
      <c r="G163" s="75" t="s">
        <v>37</v>
      </c>
      <c r="H163" s="42" t="s">
        <v>82</v>
      </c>
      <c r="I163" s="42" t="s">
        <v>284</v>
      </c>
      <c r="J163" s="43" t="s">
        <v>612</v>
      </c>
      <c r="K163" s="8" t="str">
        <f t="shared" si="6"/>
        <v>128-21-33</v>
      </c>
      <c r="L163" s="44" t="s">
        <v>765</v>
      </c>
      <c r="M163" s="8" t="str">
        <f t="shared" si="5"/>
        <v>35-31-39</v>
      </c>
      <c r="N163" s="45">
        <v>29373</v>
      </c>
      <c r="O163" s="42" t="s">
        <v>38</v>
      </c>
      <c r="P163" s="46">
        <v>0.57399999999999995</v>
      </c>
      <c r="Q163" s="46">
        <v>23.896000000000001</v>
      </c>
      <c r="R163" s="85">
        <v>12</v>
      </c>
      <c r="S163" s="41" t="str">
        <f>IF(COUNTA(#REF!)=1,"유","무")</f>
        <v>유</v>
      </c>
      <c r="T163" s="86">
        <v>16433.12</v>
      </c>
      <c r="U163" s="86">
        <v>111.16</v>
      </c>
      <c r="V163" s="42" t="s">
        <v>39</v>
      </c>
    </row>
    <row r="164" spans="1:22" ht="27" customHeight="1" x14ac:dyDescent="0.15">
      <c r="A164" s="145">
        <v>158</v>
      </c>
      <c r="B164" s="42">
        <v>2017630</v>
      </c>
      <c r="C164" s="42" t="s">
        <v>427</v>
      </c>
      <c r="D164" s="42" t="s">
        <v>1593</v>
      </c>
      <c r="E164" s="42" t="s">
        <v>46</v>
      </c>
      <c r="F164" s="42" t="s">
        <v>149</v>
      </c>
      <c r="G164" s="75" t="s">
        <v>507</v>
      </c>
      <c r="H164" s="42" t="s">
        <v>50</v>
      </c>
      <c r="I164" s="42" t="s">
        <v>285</v>
      </c>
      <c r="J164" s="43" t="s">
        <v>613</v>
      </c>
      <c r="K164" s="8" t="str">
        <f t="shared" si="6"/>
        <v>128-20-52</v>
      </c>
      <c r="L164" s="44" t="s">
        <v>767</v>
      </c>
      <c r="M164" s="8" t="str">
        <f t="shared" si="5"/>
        <v>35-29-05</v>
      </c>
      <c r="N164" s="45">
        <v>40909</v>
      </c>
      <c r="O164" s="42" t="s">
        <v>38</v>
      </c>
      <c r="P164" s="46">
        <v>6.7309999999999999</v>
      </c>
      <c r="Q164" s="46">
        <v>22.094000000000001</v>
      </c>
      <c r="R164" s="85">
        <v>9</v>
      </c>
      <c r="S164" s="41" t="str">
        <f>IF(COUNTA(#REF!)=1,"유","무")</f>
        <v>유</v>
      </c>
      <c r="T164" s="86">
        <v>164.89</v>
      </c>
      <c r="U164" s="86">
        <v>7.37</v>
      </c>
      <c r="V164" s="42" t="s">
        <v>39</v>
      </c>
    </row>
    <row r="165" spans="1:22" ht="27" customHeight="1" x14ac:dyDescent="0.15">
      <c r="A165" s="145">
        <v>159</v>
      </c>
      <c r="B165" s="42">
        <v>2017640</v>
      </c>
      <c r="C165" s="42" t="s">
        <v>491</v>
      </c>
      <c r="D165" s="42" t="s">
        <v>1594</v>
      </c>
      <c r="E165" s="42" t="s">
        <v>46</v>
      </c>
      <c r="F165" s="42" t="s">
        <v>894</v>
      </c>
      <c r="G165" s="75" t="s">
        <v>37</v>
      </c>
      <c r="H165" s="42" t="s">
        <v>1320</v>
      </c>
      <c r="I165" s="42" t="s">
        <v>510</v>
      </c>
      <c r="J165" s="43" t="s">
        <v>339</v>
      </c>
      <c r="K165" s="8" t="str">
        <f t="shared" si="6"/>
        <v>128-22-36</v>
      </c>
      <c r="L165" s="44" t="s">
        <v>766</v>
      </c>
      <c r="M165" s="8" t="str">
        <f t="shared" si="5"/>
        <v>35-31-11</v>
      </c>
      <c r="N165" s="45">
        <v>43446</v>
      </c>
      <c r="O165" s="42" t="s">
        <v>38</v>
      </c>
      <c r="P165" s="46">
        <v>3.5649999999999999</v>
      </c>
      <c r="Q165" s="46">
        <v>19.123000000000001</v>
      </c>
      <c r="R165" s="85">
        <v>14</v>
      </c>
      <c r="S165" s="41" t="str">
        <f>IF(COUNTA(#REF!)=1,"유","무")</f>
        <v>유</v>
      </c>
      <c r="T165" s="86">
        <v>120.85</v>
      </c>
      <c r="U165" s="86">
        <v>0.39</v>
      </c>
      <c r="V165" s="42" t="s">
        <v>39</v>
      </c>
    </row>
    <row r="166" spans="1:22" ht="27" customHeight="1" x14ac:dyDescent="0.15">
      <c r="A166" s="145">
        <v>160</v>
      </c>
      <c r="B166" s="42">
        <v>2017670</v>
      </c>
      <c r="C166" s="42" t="s">
        <v>1457</v>
      </c>
      <c r="D166" s="42" t="s">
        <v>1595</v>
      </c>
      <c r="E166" s="42" t="s">
        <v>46</v>
      </c>
      <c r="F166" s="42" t="s">
        <v>46</v>
      </c>
      <c r="G166" s="75" t="s">
        <v>507</v>
      </c>
      <c r="H166" s="42" t="s">
        <v>1742</v>
      </c>
      <c r="I166" s="42" t="s">
        <v>1461</v>
      </c>
      <c r="J166" s="43" t="s">
        <v>1118</v>
      </c>
      <c r="K166" s="8" t="str">
        <f t="shared" si="6"/>
        <v>128-22-33</v>
      </c>
      <c r="L166" s="44" t="s">
        <v>1119</v>
      </c>
      <c r="M166" s="8" t="str">
        <f t="shared" si="5"/>
        <v>35-26-24</v>
      </c>
      <c r="N166" s="45">
        <v>20394</v>
      </c>
      <c r="O166" s="42" t="s">
        <v>38</v>
      </c>
      <c r="P166" s="46">
        <v>-5.1909999999999998</v>
      </c>
      <c r="Q166" s="46">
        <v>19.46</v>
      </c>
      <c r="R166" s="85">
        <v>17</v>
      </c>
      <c r="S166" s="41" t="str">
        <f>IF(COUNTA(#REF!)=1,"유","무")</f>
        <v>유</v>
      </c>
      <c r="T166" s="86">
        <v>16845.284</v>
      </c>
      <c r="U166" s="86">
        <v>97.619</v>
      </c>
      <c r="V166" s="42" t="s">
        <v>43</v>
      </c>
    </row>
    <row r="167" spans="1:22" ht="27" customHeight="1" x14ac:dyDescent="0.15">
      <c r="A167" s="145">
        <v>161</v>
      </c>
      <c r="B167" s="42">
        <v>2017685</v>
      </c>
      <c r="C167" s="42" t="s">
        <v>429</v>
      </c>
      <c r="D167" s="42" t="s">
        <v>1596</v>
      </c>
      <c r="E167" s="42" t="s">
        <v>46</v>
      </c>
      <c r="F167" s="42" t="s">
        <v>152</v>
      </c>
      <c r="G167" s="75" t="s">
        <v>507</v>
      </c>
      <c r="H167" s="42" t="s">
        <v>82</v>
      </c>
      <c r="I167" s="42" t="s">
        <v>286</v>
      </c>
      <c r="J167" s="43" t="s">
        <v>614</v>
      </c>
      <c r="K167" s="8" t="str">
        <f t="shared" si="6"/>
        <v>128-21-00</v>
      </c>
      <c r="L167" s="44" t="s">
        <v>768</v>
      </c>
      <c r="M167" s="8" t="str">
        <f t="shared" si="5"/>
        <v>35-26-36</v>
      </c>
      <c r="N167" s="45">
        <v>39479</v>
      </c>
      <c r="O167" s="42" t="s">
        <v>38</v>
      </c>
      <c r="P167" s="46">
        <v>21.01</v>
      </c>
      <c r="Q167" s="46">
        <v>29.085999999999999</v>
      </c>
      <c r="R167" s="85">
        <v>8</v>
      </c>
      <c r="S167" s="41" t="str">
        <f>IF(COUNTA(#REF!)=1,"유","무")</f>
        <v>유</v>
      </c>
      <c r="T167" s="86">
        <v>92.16</v>
      </c>
      <c r="U167" s="86">
        <v>4.72</v>
      </c>
      <c r="V167" s="42" t="s">
        <v>39</v>
      </c>
    </row>
    <row r="168" spans="1:22" ht="27" customHeight="1" x14ac:dyDescent="0.15">
      <c r="A168" s="145">
        <v>162</v>
      </c>
      <c r="B168" s="42">
        <v>2018606</v>
      </c>
      <c r="C168" s="42" t="s">
        <v>1802</v>
      </c>
      <c r="D168" s="42" t="s">
        <v>1897</v>
      </c>
      <c r="E168" s="42" t="s">
        <v>46</v>
      </c>
      <c r="F168" s="42" t="s">
        <v>154</v>
      </c>
      <c r="G168" s="75" t="s">
        <v>507</v>
      </c>
      <c r="H168" s="42" t="s">
        <v>2299</v>
      </c>
      <c r="I168" s="42" t="s">
        <v>2244</v>
      </c>
      <c r="J168" s="8" t="s">
        <v>2051</v>
      </c>
      <c r="K168" s="8" t="str">
        <f>LEFT(TRIM(J168),7)&amp;TEXT(ROUND(RIGHT(TRIM(J168),LEN(TRIM(J168))-7),0),"00")</f>
        <v>127-44-34</v>
      </c>
      <c r="L168" s="8" t="s">
        <v>2146</v>
      </c>
      <c r="M168" s="8" t="str">
        <f>LEFT(TRIM(L168),6)&amp;TEXT(ROUND(RIGHT(TRIM(L168),LEN(TRIM(L168))-6),0),"00")</f>
        <v>35-37-19</v>
      </c>
      <c r="N168" s="45">
        <v>45658</v>
      </c>
      <c r="O168" s="42"/>
      <c r="P168" s="46">
        <v>281.79700000000003</v>
      </c>
      <c r="Q168" s="47">
        <v>285.15499999999997</v>
      </c>
      <c r="R168" s="85">
        <v>7</v>
      </c>
      <c r="S168" s="41" t="str">
        <f>IF(COUNTA(#REF!)=1,"유","무")</f>
        <v>유</v>
      </c>
      <c r="T168" s="86">
        <v>144.80000000000001</v>
      </c>
      <c r="U168" s="86">
        <v>166.30699999999999</v>
      </c>
      <c r="V168" s="42"/>
    </row>
    <row r="169" spans="1:22" ht="27" customHeight="1" x14ac:dyDescent="0.15">
      <c r="A169" s="145">
        <v>163</v>
      </c>
      <c r="B169" s="42">
        <v>2018609</v>
      </c>
      <c r="C169" s="42" t="s">
        <v>430</v>
      </c>
      <c r="D169" s="42" t="s">
        <v>1597</v>
      </c>
      <c r="E169" s="42" t="s">
        <v>46</v>
      </c>
      <c r="F169" s="42" t="s">
        <v>154</v>
      </c>
      <c r="G169" s="75" t="s">
        <v>507</v>
      </c>
      <c r="H169" s="42" t="s">
        <v>82</v>
      </c>
      <c r="I169" s="42" t="s">
        <v>287</v>
      </c>
      <c r="J169" s="43" t="s">
        <v>615</v>
      </c>
      <c r="K169" s="8" t="str">
        <f t="shared" si="6"/>
        <v>127-48-48</v>
      </c>
      <c r="L169" s="44" t="s">
        <v>769</v>
      </c>
      <c r="M169" s="8" t="str">
        <f t="shared" si="5"/>
        <v>35-37-45</v>
      </c>
      <c r="N169" s="45">
        <v>22828</v>
      </c>
      <c r="O169" s="42" t="s">
        <v>38</v>
      </c>
      <c r="P169" s="46">
        <v>189.351</v>
      </c>
      <c r="Q169" s="46">
        <v>194.637</v>
      </c>
      <c r="R169" s="85">
        <v>5</v>
      </c>
      <c r="S169" s="41" t="str">
        <f>IF(COUNTA(#REF!)=1,"유","무")</f>
        <v>유</v>
      </c>
      <c r="T169" s="86">
        <v>218</v>
      </c>
      <c r="U169" s="86">
        <v>157.38</v>
      </c>
      <c r="V169" s="42" t="s">
        <v>39</v>
      </c>
    </row>
    <row r="170" spans="1:22" ht="27" customHeight="1" x14ac:dyDescent="0.15">
      <c r="A170" s="145">
        <v>164</v>
      </c>
      <c r="B170" s="42">
        <v>2018626</v>
      </c>
      <c r="C170" s="42" t="s">
        <v>1809</v>
      </c>
      <c r="D170" s="42" t="s">
        <v>1904</v>
      </c>
      <c r="E170" s="42" t="s">
        <v>46</v>
      </c>
      <c r="F170" s="42" t="s">
        <v>1986</v>
      </c>
      <c r="G170" s="75" t="s">
        <v>507</v>
      </c>
      <c r="H170" s="42" t="s">
        <v>2299</v>
      </c>
      <c r="I170" s="42" t="s">
        <v>2251</v>
      </c>
      <c r="J170" s="8" t="s">
        <v>2058</v>
      </c>
      <c r="K170" s="8" t="str">
        <f>LEFT(TRIM(J170),7)&amp;TEXT(ROUND(RIGHT(TRIM(J170),LEN(TRIM(J170))-7),0),"00")</f>
        <v>127-37-38</v>
      </c>
      <c r="L170" s="8" t="s">
        <v>2153</v>
      </c>
      <c r="M170" s="8" t="str">
        <f>LEFT(TRIM(L170),6)&amp;TEXT(ROUND(RIGHT(TRIM(L170),LEN(TRIM(L170))-6),0),"00")</f>
        <v>35-25-04</v>
      </c>
      <c r="N170" s="45">
        <v>45658</v>
      </c>
      <c r="O170" s="42"/>
      <c r="P170" s="46">
        <v>312.92</v>
      </c>
      <c r="Q170" s="47">
        <v>323.733</v>
      </c>
      <c r="R170" s="85">
        <v>8</v>
      </c>
      <c r="S170" s="41" t="str">
        <f>IF(COUNTA(#REF!)=1,"유","무")</f>
        <v>유</v>
      </c>
      <c r="T170" s="86">
        <v>249.07599999999999</v>
      </c>
      <c r="U170" s="86">
        <v>2.9729999999999999</v>
      </c>
      <c r="V170" s="42"/>
    </row>
    <row r="171" spans="1:22" ht="27" customHeight="1" x14ac:dyDescent="0.15">
      <c r="A171" s="145">
        <v>165</v>
      </c>
      <c r="B171" s="42">
        <v>2018640</v>
      </c>
      <c r="C171" s="42" t="s">
        <v>895</v>
      </c>
      <c r="D171" s="42" t="s">
        <v>1598</v>
      </c>
      <c r="E171" s="42" t="s">
        <v>46</v>
      </c>
      <c r="F171" s="42" t="s">
        <v>154</v>
      </c>
      <c r="G171" s="75" t="s">
        <v>37</v>
      </c>
      <c r="H171" s="42" t="s">
        <v>1745</v>
      </c>
      <c r="I171" s="42" t="s">
        <v>1321</v>
      </c>
      <c r="J171" s="43" t="s">
        <v>616</v>
      </c>
      <c r="K171" s="8" t="str">
        <f t="shared" si="6"/>
        <v>127-49-47</v>
      </c>
      <c r="L171" s="44" t="s">
        <v>770</v>
      </c>
      <c r="M171" s="8" t="str">
        <f t="shared" si="5"/>
        <v>35-29-25</v>
      </c>
      <c r="N171" s="45">
        <v>42005</v>
      </c>
      <c r="O171" s="42" t="s">
        <v>38</v>
      </c>
      <c r="P171" s="46">
        <v>106.687</v>
      </c>
      <c r="Q171" s="46">
        <v>118.636</v>
      </c>
      <c r="R171" s="85">
        <v>5</v>
      </c>
      <c r="S171" s="41" t="str">
        <f>IF(COUNTA(#REF!)=1,"유","무")</f>
        <v>유</v>
      </c>
      <c r="T171" s="86">
        <v>1023.29</v>
      </c>
      <c r="U171" s="86">
        <v>134.87</v>
      </c>
      <c r="V171" s="42" t="s">
        <v>39</v>
      </c>
    </row>
    <row r="172" spans="1:22" ht="27" customHeight="1" x14ac:dyDescent="0.15">
      <c r="A172" s="145">
        <v>166</v>
      </c>
      <c r="B172" s="42">
        <v>2018662</v>
      </c>
      <c r="C172" s="42" t="s">
        <v>431</v>
      </c>
      <c r="D172" s="42" t="s">
        <v>1599</v>
      </c>
      <c r="E172" s="42" t="s">
        <v>46</v>
      </c>
      <c r="F172" s="42" t="s">
        <v>897</v>
      </c>
      <c r="G172" s="75" t="s">
        <v>37</v>
      </c>
      <c r="H172" s="42" t="s">
        <v>50</v>
      </c>
      <c r="I172" s="42" t="s">
        <v>898</v>
      </c>
      <c r="J172" s="43" t="s">
        <v>617</v>
      </c>
      <c r="K172" s="8" t="str">
        <f t="shared" si="6"/>
        <v>128-00-27</v>
      </c>
      <c r="L172" s="44" t="s">
        <v>771</v>
      </c>
      <c r="M172" s="8" t="str">
        <f t="shared" si="5"/>
        <v>35-21-35</v>
      </c>
      <c r="N172" s="45">
        <v>43078</v>
      </c>
      <c r="O172" s="42" t="s">
        <v>38</v>
      </c>
      <c r="P172" s="46">
        <v>56.512999999999998</v>
      </c>
      <c r="Q172" s="46">
        <v>64.518000000000001</v>
      </c>
      <c r="R172" s="85">
        <v>8</v>
      </c>
      <c r="S172" s="41" t="str">
        <f>IF(COUNTA(#REF!)=1,"유","무")</f>
        <v>유</v>
      </c>
      <c r="T172" s="86">
        <v>163.38999999999999</v>
      </c>
      <c r="U172" s="86">
        <v>4.41</v>
      </c>
      <c r="V172" s="42" t="s">
        <v>39</v>
      </c>
    </row>
    <row r="173" spans="1:22" ht="27" customHeight="1" x14ac:dyDescent="0.15">
      <c r="A173" s="145">
        <v>167</v>
      </c>
      <c r="B173" s="42">
        <v>2018671</v>
      </c>
      <c r="C173" s="42" t="s">
        <v>1827</v>
      </c>
      <c r="D173" s="42" t="s">
        <v>1921</v>
      </c>
      <c r="E173" s="42" t="s">
        <v>46</v>
      </c>
      <c r="F173" s="42" t="s">
        <v>1996</v>
      </c>
      <c r="G173" s="75" t="s">
        <v>507</v>
      </c>
      <c r="H173" s="42" t="s">
        <v>2299</v>
      </c>
      <c r="I173" s="42" t="s">
        <v>2269</v>
      </c>
      <c r="J173" s="8" t="s">
        <v>2076</v>
      </c>
      <c r="K173" s="8" t="str">
        <f>LEFT(TRIM(J173),7)&amp;TEXT(ROUND(RIGHT(TRIM(J173),LEN(TRIM(J173))-7),0),"00")</f>
        <v>127-49-02</v>
      </c>
      <c r="L173" s="8" t="s">
        <v>2171</v>
      </c>
      <c r="M173" s="8" t="str">
        <f>LEFT(TRIM(L173),6)&amp;TEXT(ROUND(RIGHT(TRIM(L173),LEN(TRIM(L173))-6),0),"00")</f>
        <v>35-14-32</v>
      </c>
      <c r="N173" s="45">
        <v>45658</v>
      </c>
      <c r="O173" s="42"/>
      <c r="P173" s="46">
        <v>133.56299999999999</v>
      </c>
      <c r="Q173" s="47">
        <v>142.20699999999999</v>
      </c>
      <c r="R173" s="85">
        <v>4</v>
      </c>
      <c r="S173" s="41" t="str">
        <f>IF(COUNTA(#REF!)=1,"유","무")</f>
        <v>유</v>
      </c>
      <c r="T173" s="86">
        <v>89.171000000000006</v>
      </c>
      <c r="U173" s="86">
        <v>4.726</v>
      </c>
      <c r="V173" s="42"/>
    </row>
    <row r="174" spans="1:22" ht="27" customHeight="1" x14ac:dyDescent="0.15">
      <c r="A174" s="145">
        <v>168</v>
      </c>
      <c r="B174" s="42">
        <v>2018674</v>
      </c>
      <c r="C174" s="42" t="s">
        <v>432</v>
      </c>
      <c r="D174" s="42" t="s">
        <v>1600</v>
      </c>
      <c r="E174" s="42" t="s">
        <v>46</v>
      </c>
      <c r="F174" s="42" t="s">
        <v>154</v>
      </c>
      <c r="G174" s="75" t="s">
        <v>507</v>
      </c>
      <c r="H174" s="42" t="s">
        <v>50</v>
      </c>
      <c r="I174" s="42" t="s">
        <v>288</v>
      </c>
      <c r="J174" s="43" t="s">
        <v>618</v>
      </c>
      <c r="K174" s="8" t="str">
        <f t="shared" si="6"/>
        <v>127-57-46</v>
      </c>
      <c r="L174" s="44" t="s">
        <v>772</v>
      </c>
      <c r="M174" s="8" t="str">
        <f t="shared" si="5"/>
        <v>35-16-56</v>
      </c>
      <c r="N174" s="45">
        <v>40544</v>
      </c>
      <c r="O174" s="42" t="s">
        <v>38</v>
      </c>
      <c r="P174" s="46">
        <v>37.798999999999999</v>
      </c>
      <c r="Q174" s="46">
        <v>48.430999999999997</v>
      </c>
      <c r="R174" s="85">
        <v>7</v>
      </c>
      <c r="S174" s="41" t="str">
        <f>IF(COUNTA(#REF!)=1,"유","무")</f>
        <v>유</v>
      </c>
      <c r="T174" s="86">
        <v>1710.1</v>
      </c>
      <c r="U174" s="86">
        <v>100.73</v>
      </c>
      <c r="V174" s="42" t="s">
        <v>43</v>
      </c>
    </row>
    <row r="175" spans="1:22" s="23" customFormat="1" ht="27" customHeight="1" x14ac:dyDescent="0.15">
      <c r="A175" s="145">
        <v>169</v>
      </c>
      <c r="B175" s="147">
        <v>2018688</v>
      </c>
      <c r="C175" s="41" t="s">
        <v>1371</v>
      </c>
      <c r="D175" s="41" t="s">
        <v>1601</v>
      </c>
      <c r="E175" s="42" t="s">
        <v>1449</v>
      </c>
      <c r="F175" s="42" t="s">
        <v>1406</v>
      </c>
      <c r="G175" s="75" t="s">
        <v>37</v>
      </c>
      <c r="H175" s="42" t="s">
        <v>87</v>
      </c>
      <c r="I175" s="42" t="s">
        <v>1379</v>
      </c>
      <c r="J175" s="8" t="s">
        <v>1385</v>
      </c>
      <c r="K175" s="13" t="str">
        <f>LEFT(TRIM(J175),7)&amp;TEXT(ROUND(RIGHT(TRIM(J175),LEN(TRIM(J175))-7),0),"00")</f>
        <v>127-57-28</v>
      </c>
      <c r="L175" s="13" t="s">
        <v>1399</v>
      </c>
      <c r="M175" s="8" t="str">
        <f>LEFT(TRIM(L175),6)&amp;TEXT(ROUND(RIGHT(TRIM(L175),LEN(TRIM(L175))-6),0),"00")</f>
        <v>35-09-28</v>
      </c>
      <c r="N175" s="52">
        <v>44935</v>
      </c>
      <c r="O175" s="41" t="s">
        <v>1455</v>
      </c>
      <c r="P175" s="48">
        <v>41.124000000000002</v>
      </c>
      <c r="Q175" s="49">
        <v>50.094000000000001</v>
      </c>
      <c r="R175" s="50">
        <v>8</v>
      </c>
      <c r="S175" s="41" t="str">
        <f>IF(COUNTA(#REF!)=1,"유","무")</f>
        <v>유</v>
      </c>
      <c r="T175" s="51">
        <v>356.52</v>
      </c>
      <c r="U175" s="51">
        <v>8.1829999999999998</v>
      </c>
      <c r="V175" s="41" t="s">
        <v>1460</v>
      </c>
    </row>
    <row r="176" spans="1:22" ht="27" customHeight="1" x14ac:dyDescent="0.15">
      <c r="A176" s="145">
        <v>170</v>
      </c>
      <c r="B176" s="42">
        <v>2019610</v>
      </c>
      <c r="C176" s="42" t="s">
        <v>433</v>
      </c>
      <c r="D176" s="42" t="s">
        <v>1602</v>
      </c>
      <c r="E176" s="42" t="s">
        <v>46</v>
      </c>
      <c r="F176" s="42" t="s">
        <v>158</v>
      </c>
      <c r="G176" s="75" t="s">
        <v>37</v>
      </c>
      <c r="H176" s="42" t="s">
        <v>40</v>
      </c>
      <c r="I176" s="42" t="s">
        <v>289</v>
      </c>
      <c r="J176" s="43" t="s">
        <v>619</v>
      </c>
      <c r="K176" s="8" t="str">
        <f t="shared" si="6"/>
        <v>128-11-27</v>
      </c>
      <c r="L176" s="44" t="s">
        <v>773</v>
      </c>
      <c r="M176" s="8" t="str">
        <f t="shared" si="5"/>
        <v>35-05-55</v>
      </c>
      <c r="N176" s="45">
        <v>39814</v>
      </c>
      <c r="O176" s="42" t="s">
        <v>38</v>
      </c>
      <c r="P176" s="46">
        <v>33.209000000000003</v>
      </c>
      <c r="Q176" s="46">
        <v>40.603000000000002</v>
      </c>
      <c r="R176" s="85">
        <v>9</v>
      </c>
      <c r="S176" s="41" t="str">
        <f>IF(COUNTA(#REF!)=1,"유","무")</f>
        <v>유</v>
      </c>
      <c r="T176" s="86">
        <v>133.77000000000001</v>
      </c>
      <c r="U176" s="86">
        <v>14.23</v>
      </c>
      <c r="V176" s="42" t="s">
        <v>39</v>
      </c>
    </row>
    <row r="177" spans="1:22" ht="27" customHeight="1" x14ac:dyDescent="0.15">
      <c r="A177" s="145">
        <v>171</v>
      </c>
      <c r="B177" s="42">
        <v>2019620</v>
      </c>
      <c r="C177" s="42" t="s">
        <v>899</v>
      </c>
      <c r="D177" s="42" t="s">
        <v>1603</v>
      </c>
      <c r="E177" s="42" t="s">
        <v>46</v>
      </c>
      <c r="F177" s="42" t="s">
        <v>154</v>
      </c>
      <c r="G177" s="75" t="s">
        <v>37</v>
      </c>
      <c r="H177" s="42" t="s">
        <v>1742</v>
      </c>
      <c r="I177" s="42" t="s">
        <v>900</v>
      </c>
      <c r="J177" s="43" t="s">
        <v>620</v>
      </c>
      <c r="K177" s="8" t="str">
        <f t="shared" si="6"/>
        <v>128-24-55</v>
      </c>
      <c r="L177" s="44" t="s">
        <v>774</v>
      </c>
      <c r="M177" s="8" t="str">
        <f t="shared" si="5"/>
        <v>35-21-39</v>
      </c>
      <c r="N177" s="45">
        <v>42005</v>
      </c>
      <c r="O177" s="42" t="s">
        <v>38</v>
      </c>
      <c r="P177" s="46">
        <v>-9.9000000000000005E-2</v>
      </c>
      <c r="Q177" s="46">
        <v>22.718</v>
      </c>
      <c r="R177" s="85">
        <v>10</v>
      </c>
      <c r="S177" s="41" t="str">
        <f>IF(COUNTA(#REF!)=1,"유","무")</f>
        <v>유</v>
      </c>
      <c r="T177" s="86">
        <v>3416.56</v>
      </c>
      <c r="U177" s="86">
        <v>4.88</v>
      </c>
      <c r="V177" s="42" t="s">
        <v>39</v>
      </c>
    </row>
    <row r="178" spans="1:22" ht="27" customHeight="1" x14ac:dyDescent="0.15">
      <c r="A178" s="145">
        <v>172</v>
      </c>
      <c r="B178" s="42">
        <v>2019625</v>
      </c>
      <c r="C178" s="42" t="s">
        <v>434</v>
      </c>
      <c r="D178" s="42" t="s">
        <v>1604</v>
      </c>
      <c r="E178" s="42" t="s">
        <v>46</v>
      </c>
      <c r="F178" s="42" t="s">
        <v>158</v>
      </c>
      <c r="G178" s="75" t="s">
        <v>37</v>
      </c>
      <c r="H178" s="42" t="s">
        <v>40</v>
      </c>
      <c r="I178" s="42" t="s">
        <v>902</v>
      </c>
      <c r="J178" s="43" t="s">
        <v>621</v>
      </c>
      <c r="K178" s="8" t="str">
        <f t="shared" si="6"/>
        <v>128-09-23</v>
      </c>
      <c r="L178" s="44" t="s">
        <v>775</v>
      </c>
      <c r="M178" s="8" t="str">
        <f t="shared" si="5"/>
        <v>35-09-48</v>
      </c>
      <c r="N178" s="45">
        <v>42736</v>
      </c>
      <c r="O178" s="42" t="s">
        <v>38</v>
      </c>
      <c r="P178" s="46">
        <v>16.433</v>
      </c>
      <c r="Q178" s="46">
        <v>27.838999999999999</v>
      </c>
      <c r="R178" s="85">
        <v>10</v>
      </c>
      <c r="S178" s="41" t="str">
        <f>IF(COUNTA(#REF!)=1,"유","무")</f>
        <v>유</v>
      </c>
      <c r="T178" s="86">
        <v>178.52</v>
      </c>
      <c r="U178" s="86">
        <v>4.74</v>
      </c>
      <c r="V178" s="42" t="s">
        <v>39</v>
      </c>
    </row>
    <row r="179" spans="1:22" ht="27" customHeight="1" x14ac:dyDescent="0.15">
      <c r="A179" s="145">
        <v>173</v>
      </c>
      <c r="B179" s="42">
        <v>2019630</v>
      </c>
      <c r="C179" s="42" t="s">
        <v>1796</v>
      </c>
      <c r="D179" s="42" t="s">
        <v>1891</v>
      </c>
      <c r="E179" s="42" t="s">
        <v>46</v>
      </c>
      <c r="F179" s="42" t="s">
        <v>154</v>
      </c>
      <c r="G179" s="75" t="s">
        <v>37</v>
      </c>
      <c r="H179" s="42" t="s">
        <v>2300</v>
      </c>
      <c r="I179" s="42" t="s">
        <v>2238</v>
      </c>
      <c r="J179" s="8" t="s">
        <v>2045</v>
      </c>
      <c r="K179" s="8" t="str">
        <f>LEFT(TRIM(J179),7)&amp;TEXT(ROUND(RIGHT(TRIM(J179),LEN(TRIM(J179))-7),0),"00")</f>
        <v>128-21-58</v>
      </c>
      <c r="L179" s="8" t="s">
        <v>2140</v>
      </c>
      <c r="M179" s="8" t="str">
        <f>LEFT(TRIM(L179),6)&amp;TEXT(ROUND(RIGHT(TRIM(L179),LEN(TRIM(L179))-6),0),"00")</f>
        <v>35-20-21</v>
      </c>
      <c r="N179" s="45">
        <v>45658</v>
      </c>
      <c r="O179" s="42"/>
      <c r="P179" s="46">
        <v>1.9339999999999999</v>
      </c>
      <c r="Q179" s="47">
        <v>18.173999999999999</v>
      </c>
      <c r="R179" s="85">
        <v>17</v>
      </c>
      <c r="S179" s="41" t="str">
        <f>IF(COUNTA(#REF!)=1,"유","무")</f>
        <v>유</v>
      </c>
      <c r="T179" s="86">
        <v>3165.63</v>
      </c>
      <c r="U179" s="86">
        <v>14.239000000000001</v>
      </c>
      <c r="V179" s="42"/>
    </row>
    <row r="180" spans="1:22" ht="27" customHeight="1" x14ac:dyDescent="0.15">
      <c r="A180" s="145">
        <v>174</v>
      </c>
      <c r="B180" s="42">
        <v>2019635</v>
      </c>
      <c r="C180" s="42" t="s">
        <v>435</v>
      </c>
      <c r="D180" s="42" t="s">
        <v>1605</v>
      </c>
      <c r="E180" s="42" t="s">
        <v>46</v>
      </c>
      <c r="F180" s="42" t="s">
        <v>154</v>
      </c>
      <c r="G180" s="75" t="s">
        <v>507</v>
      </c>
      <c r="H180" s="42" t="s">
        <v>40</v>
      </c>
      <c r="I180" s="42" t="s">
        <v>290</v>
      </c>
      <c r="J180" s="43" t="s">
        <v>622</v>
      </c>
      <c r="K180" s="8" t="str">
        <f t="shared" si="6"/>
        <v>128-08-13</v>
      </c>
      <c r="L180" s="44" t="s">
        <v>776</v>
      </c>
      <c r="M180" s="8" t="str">
        <f t="shared" si="5"/>
        <v>35-14-15</v>
      </c>
      <c r="N180" s="45">
        <v>39108</v>
      </c>
      <c r="O180" s="42" t="s">
        <v>38</v>
      </c>
      <c r="P180" s="46">
        <v>12.11</v>
      </c>
      <c r="Q180" s="46">
        <v>22.390999999999998</v>
      </c>
      <c r="R180" s="85">
        <v>8</v>
      </c>
      <c r="S180" s="41" t="str">
        <f>IF(COUNTA(#REF!)=1,"유","무")</f>
        <v>유</v>
      </c>
      <c r="T180" s="86">
        <v>2665.34</v>
      </c>
      <c r="U180" s="86">
        <v>59.26</v>
      </c>
      <c r="V180" s="42" t="s">
        <v>39</v>
      </c>
    </row>
    <row r="181" spans="1:22" ht="27" customHeight="1" x14ac:dyDescent="0.15">
      <c r="A181" s="145">
        <v>175</v>
      </c>
      <c r="B181" s="42">
        <v>2019640</v>
      </c>
      <c r="C181" s="42" t="s">
        <v>436</v>
      </c>
      <c r="D181" s="42" t="s">
        <v>1606</v>
      </c>
      <c r="E181" s="42" t="s">
        <v>46</v>
      </c>
      <c r="F181" s="42" t="s">
        <v>154</v>
      </c>
      <c r="G181" s="75" t="s">
        <v>507</v>
      </c>
      <c r="H181" s="42" t="s">
        <v>98</v>
      </c>
      <c r="I181" s="42" t="s">
        <v>291</v>
      </c>
      <c r="J181" s="43" t="s">
        <v>623</v>
      </c>
      <c r="K181" s="8" t="str">
        <f t="shared" si="6"/>
        <v>128-11-56</v>
      </c>
      <c r="L181" s="44" t="s">
        <v>777</v>
      </c>
      <c r="M181" s="8" t="str">
        <f t="shared" si="5"/>
        <v>35-13-21</v>
      </c>
      <c r="N181" s="45">
        <v>40179</v>
      </c>
      <c r="O181" s="42" t="s">
        <v>38</v>
      </c>
      <c r="P181" s="46">
        <v>10.727</v>
      </c>
      <c r="Q181" s="46">
        <v>24.504999999999999</v>
      </c>
      <c r="R181" s="85">
        <v>10</v>
      </c>
      <c r="S181" s="41" t="str">
        <f>IF(COUNTA(#REF!)=1,"유","무")</f>
        <v>유</v>
      </c>
      <c r="T181" s="86">
        <v>2755.35</v>
      </c>
      <c r="U181" s="86">
        <v>51.52</v>
      </c>
      <c r="V181" s="42" t="s">
        <v>39</v>
      </c>
    </row>
    <row r="182" spans="1:22" ht="27" customHeight="1" x14ac:dyDescent="0.15">
      <c r="A182" s="145">
        <v>176</v>
      </c>
      <c r="B182" s="42">
        <v>2019647</v>
      </c>
      <c r="C182" s="42" t="s">
        <v>437</v>
      </c>
      <c r="D182" s="42" t="s">
        <v>1607</v>
      </c>
      <c r="E182" s="42" t="s">
        <v>46</v>
      </c>
      <c r="F182" s="42" t="s">
        <v>154</v>
      </c>
      <c r="G182" s="75" t="s">
        <v>507</v>
      </c>
      <c r="H182" s="42" t="s">
        <v>1359</v>
      </c>
      <c r="I182" s="42" t="s">
        <v>292</v>
      </c>
      <c r="J182" s="43" t="s">
        <v>624</v>
      </c>
      <c r="K182" s="8" t="str">
        <f t="shared" si="6"/>
        <v>128-16-20</v>
      </c>
      <c r="L182" s="44" t="s">
        <v>778</v>
      </c>
      <c r="M182" s="8" t="str">
        <f t="shared" si="5"/>
        <v>35-15-22</v>
      </c>
      <c r="N182" s="45">
        <v>41275</v>
      </c>
      <c r="O182" s="42" t="s">
        <v>38</v>
      </c>
      <c r="P182" s="46">
        <v>4.7109999999999985</v>
      </c>
      <c r="Q182" s="46">
        <v>22.102999999999998</v>
      </c>
      <c r="R182" s="85">
        <v>11</v>
      </c>
      <c r="S182" s="41" t="str">
        <f>IF(COUNTA(#REF!)=1,"유","무")</f>
        <v>유</v>
      </c>
      <c r="T182" s="86">
        <v>2960.89</v>
      </c>
      <c r="U182" s="86">
        <v>34.97</v>
      </c>
      <c r="V182" s="42" t="s">
        <v>39</v>
      </c>
    </row>
    <row r="183" spans="1:22" ht="27" customHeight="1" x14ac:dyDescent="0.15">
      <c r="A183" s="145">
        <v>177</v>
      </c>
      <c r="B183" s="42">
        <v>2019650</v>
      </c>
      <c r="C183" s="42" t="s">
        <v>1795</v>
      </c>
      <c r="D183" s="42" t="s">
        <v>1890</v>
      </c>
      <c r="E183" s="42" t="s">
        <v>46</v>
      </c>
      <c r="F183" s="42" t="s">
        <v>164</v>
      </c>
      <c r="G183" s="75" t="s">
        <v>507</v>
      </c>
      <c r="H183" s="42" t="s">
        <v>2299</v>
      </c>
      <c r="I183" s="42" t="s">
        <v>2237</v>
      </c>
      <c r="J183" s="8" t="s">
        <v>2044</v>
      </c>
      <c r="K183" s="8" t="str">
        <f>LEFT(TRIM(J183),7)&amp;TEXT(ROUND(RIGHT(TRIM(J183),LEN(TRIM(J183))-7),0),"00")</f>
        <v>128-13-45</v>
      </c>
      <c r="L183" s="8" t="s">
        <v>2139</v>
      </c>
      <c r="M183" s="8" t="str">
        <f>LEFT(TRIM(L183),6)&amp;TEXT(ROUND(RIGHT(TRIM(L183),LEN(TRIM(L183))-6),0),"00")</f>
        <v>35-19-28</v>
      </c>
      <c r="N183" s="45">
        <v>45658</v>
      </c>
      <c r="O183" s="42"/>
      <c r="P183" s="46">
        <v>30.893999999999998</v>
      </c>
      <c r="Q183" s="47">
        <v>39.752000000000002</v>
      </c>
      <c r="R183" s="85">
        <v>5</v>
      </c>
      <c r="S183" s="41" t="str">
        <f>IF(COUNTA(#REF!)=1,"유","무")</f>
        <v>유</v>
      </c>
      <c r="T183" s="86">
        <v>34.015999999999998</v>
      </c>
      <c r="U183" s="86">
        <v>9.6170000000000009</v>
      </c>
      <c r="V183" s="42"/>
    </row>
    <row r="184" spans="1:22" ht="27" customHeight="1" x14ac:dyDescent="0.15">
      <c r="A184" s="145">
        <v>178</v>
      </c>
      <c r="B184" s="42">
        <v>2019652</v>
      </c>
      <c r="C184" s="42" t="s">
        <v>1797</v>
      </c>
      <c r="D184" s="42" t="s">
        <v>1892</v>
      </c>
      <c r="E184" s="42" t="s">
        <v>46</v>
      </c>
      <c r="F184" s="42" t="s">
        <v>1977</v>
      </c>
      <c r="G184" s="75" t="s">
        <v>507</v>
      </c>
      <c r="H184" s="42" t="s">
        <v>2300</v>
      </c>
      <c r="I184" s="42" t="s">
        <v>2239</v>
      </c>
      <c r="J184" s="8" t="s">
        <v>2046</v>
      </c>
      <c r="K184" s="8" t="str">
        <f>LEFT(TRIM(J184),7)&amp;TEXT(ROUND(RIGHT(TRIM(J184),LEN(TRIM(J184))-7),0),"00")</f>
        <v>128-15-05</v>
      </c>
      <c r="L184" s="8" t="s">
        <v>2141</v>
      </c>
      <c r="M184" s="8" t="str">
        <f>LEFT(TRIM(L184),6)&amp;TEXT(ROUND(RIGHT(TRIM(L184),LEN(TRIM(L184))-6),0),"00")</f>
        <v>35-11-44</v>
      </c>
      <c r="N184" s="45">
        <v>45658</v>
      </c>
      <c r="O184" s="42"/>
      <c r="P184" s="46">
        <v>10.468999999999999</v>
      </c>
      <c r="Q184" s="47">
        <v>21.902999999999999</v>
      </c>
      <c r="R184" s="85">
        <v>10</v>
      </c>
      <c r="S184" s="41" t="str">
        <f>IF(COUNTA(#REF!)=1,"유","무")</f>
        <v>유</v>
      </c>
      <c r="T184" s="86">
        <v>97.41</v>
      </c>
      <c r="U184" s="86">
        <v>4.2489999999999997</v>
      </c>
      <c r="V184" s="42"/>
    </row>
    <row r="185" spans="1:22" ht="27" customHeight="1" x14ac:dyDescent="0.15">
      <c r="A185" s="145">
        <v>179</v>
      </c>
      <c r="B185" s="42">
        <v>2019653</v>
      </c>
      <c r="C185" s="42" t="s">
        <v>438</v>
      </c>
      <c r="D185" s="42" t="s">
        <v>1608</v>
      </c>
      <c r="E185" s="42" t="s">
        <v>46</v>
      </c>
      <c r="F185" s="42" t="s">
        <v>164</v>
      </c>
      <c r="G185" s="75" t="s">
        <v>507</v>
      </c>
      <c r="H185" s="42" t="s">
        <v>82</v>
      </c>
      <c r="I185" s="42" t="s">
        <v>903</v>
      </c>
      <c r="J185" s="43" t="s">
        <v>625</v>
      </c>
      <c r="K185" s="8" t="str">
        <f t="shared" si="6"/>
        <v>128-16-07</v>
      </c>
      <c r="L185" s="44" t="s">
        <v>779</v>
      </c>
      <c r="M185" s="8" t="str">
        <f t="shared" si="5"/>
        <v>35-19-02</v>
      </c>
      <c r="N185" s="45">
        <v>42370</v>
      </c>
      <c r="O185" s="42" t="s">
        <v>38</v>
      </c>
      <c r="P185" s="46">
        <v>8.7449999999999992</v>
      </c>
      <c r="Q185" s="46">
        <v>16.189</v>
      </c>
      <c r="R185" s="85">
        <v>6</v>
      </c>
      <c r="S185" s="41" t="str">
        <f>IF(COUNTA(#REF!)=1,"유","무")</f>
        <v>유</v>
      </c>
      <c r="T185" s="86">
        <v>77.91</v>
      </c>
      <c r="U185" s="86">
        <v>4.01</v>
      </c>
      <c r="V185" s="42" t="s">
        <v>39</v>
      </c>
    </row>
    <row r="186" spans="1:22" ht="27" customHeight="1" x14ac:dyDescent="0.15">
      <c r="A186" s="145">
        <v>180</v>
      </c>
      <c r="B186" s="42">
        <v>2019655</v>
      </c>
      <c r="C186" s="42" t="s">
        <v>439</v>
      </c>
      <c r="D186" s="42" t="s">
        <v>1609</v>
      </c>
      <c r="E186" s="42" t="s">
        <v>46</v>
      </c>
      <c r="F186" s="42" t="s">
        <v>154</v>
      </c>
      <c r="G186" s="75" t="s">
        <v>37</v>
      </c>
      <c r="H186" s="42" t="s">
        <v>500</v>
      </c>
      <c r="I186" s="42" t="s">
        <v>293</v>
      </c>
      <c r="J186" s="43" t="s">
        <v>626</v>
      </c>
      <c r="K186" s="8" t="str">
        <f t="shared" si="6"/>
        <v>128-17-43</v>
      </c>
      <c r="L186" s="44" t="s">
        <v>780</v>
      </c>
      <c r="M186" s="8" t="str">
        <f t="shared" si="5"/>
        <v>35-18-48</v>
      </c>
      <c r="N186" s="45">
        <v>8249</v>
      </c>
      <c r="O186" s="42" t="s">
        <v>38</v>
      </c>
      <c r="P186" s="46">
        <v>6.04</v>
      </c>
      <c r="Q186" s="46">
        <v>18.157</v>
      </c>
      <c r="R186" s="85">
        <v>13</v>
      </c>
      <c r="S186" s="41" t="str">
        <f>IF(COUNTA(#REF!)=1,"유","무")</f>
        <v>유</v>
      </c>
      <c r="T186" s="86">
        <v>2990.66</v>
      </c>
      <c r="U186" s="86">
        <v>26.68</v>
      </c>
      <c r="V186" s="42" t="s">
        <v>39</v>
      </c>
    </row>
    <row r="187" spans="1:22" ht="27" customHeight="1" x14ac:dyDescent="0.15">
      <c r="A187" s="145">
        <v>181</v>
      </c>
      <c r="B187" s="42">
        <v>2019665</v>
      </c>
      <c r="C187" s="42" t="s">
        <v>1801</v>
      </c>
      <c r="D187" s="42" t="s">
        <v>1896</v>
      </c>
      <c r="E187" s="42" t="s">
        <v>46</v>
      </c>
      <c r="F187" s="42" t="s">
        <v>1980</v>
      </c>
      <c r="G187" s="75" t="s">
        <v>37</v>
      </c>
      <c r="H187" s="42" t="s">
        <v>2300</v>
      </c>
      <c r="I187" s="42" t="s">
        <v>2243</v>
      </c>
      <c r="J187" s="8" t="s">
        <v>2050</v>
      </c>
      <c r="K187" s="8" t="str">
        <f>LEFT(TRIM(J187),7)&amp;TEXT(ROUND(RIGHT(TRIM(J187),LEN(TRIM(J187))-7),0),"00")</f>
        <v>128-19-06</v>
      </c>
      <c r="L187" s="8" t="s">
        <v>2145</v>
      </c>
      <c r="M187" s="8" t="str">
        <f>LEFT(TRIM(L187),6)&amp;TEXT(ROUND(RIGHT(TRIM(L187),LEN(TRIM(L187))-6),0),"00")</f>
        <v>35-18-32</v>
      </c>
      <c r="N187" s="45">
        <v>45658</v>
      </c>
      <c r="O187" s="42"/>
      <c r="P187" s="46">
        <v>5.3620000000000001</v>
      </c>
      <c r="Q187" s="47">
        <v>17.129000000000001</v>
      </c>
      <c r="R187" s="85">
        <v>6</v>
      </c>
      <c r="S187" s="41" t="str">
        <f>IF(COUNTA(#REF!)=1,"유","무")</f>
        <v>유</v>
      </c>
      <c r="T187" s="86">
        <v>60.957999999999998</v>
      </c>
      <c r="U187" s="86">
        <v>1.752</v>
      </c>
      <c r="V187" s="42"/>
    </row>
    <row r="188" spans="1:22" ht="27" customHeight="1" x14ac:dyDescent="0.15">
      <c r="A188" s="145">
        <v>182</v>
      </c>
      <c r="B188" s="42">
        <v>2019680</v>
      </c>
      <c r="C188" s="42" t="s">
        <v>440</v>
      </c>
      <c r="D188" s="42" t="s">
        <v>1610</v>
      </c>
      <c r="E188" s="42" t="s">
        <v>46</v>
      </c>
      <c r="F188" s="42" t="s">
        <v>167</v>
      </c>
      <c r="G188" s="75" t="s">
        <v>37</v>
      </c>
      <c r="H188" s="42" t="s">
        <v>98</v>
      </c>
      <c r="I188" s="42" t="s">
        <v>1305</v>
      </c>
      <c r="J188" s="43" t="s">
        <v>627</v>
      </c>
      <c r="K188" s="8" t="str">
        <f t="shared" si="6"/>
        <v>128-24-02</v>
      </c>
      <c r="L188" s="44" t="s">
        <v>781</v>
      </c>
      <c r="M188" s="8" t="str">
        <f t="shared" si="5"/>
        <v>35-19-54</v>
      </c>
      <c r="N188" s="45">
        <v>38742</v>
      </c>
      <c r="O188" s="42" t="s">
        <v>38</v>
      </c>
      <c r="P188" s="46">
        <v>3.0409999999999999</v>
      </c>
      <c r="Q188" s="46">
        <v>18.66</v>
      </c>
      <c r="R188" s="85">
        <v>15</v>
      </c>
      <c r="S188" s="41" t="str">
        <f>IF(COUNTA(#REF!)=1,"유","무")</f>
        <v>유</v>
      </c>
      <c r="T188" s="86">
        <v>155.11000000000001</v>
      </c>
      <c r="U188" s="86">
        <v>0.52</v>
      </c>
      <c r="V188" s="42" t="s">
        <v>39</v>
      </c>
    </row>
    <row r="189" spans="1:22" ht="27" customHeight="1" x14ac:dyDescent="0.15">
      <c r="A189" s="145">
        <v>183</v>
      </c>
      <c r="B189" s="42">
        <v>2019685</v>
      </c>
      <c r="C189" s="42" t="s">
        <v>441</v>
      </c>
      <c r="D189" s="42" t="s">
        <v>1611</v>
      </c>
      <c r="E189" s="42" t="s">
        <v>46</v>
      </c>
      <c r="F189" s="42" t="s">
        <v>167</v>
      </c>
      <c r="G189" s="75" t="s">
        <v>37</v>
      </c>
      <c r="H189" s="42" t="s">
        <v>50</v>
      </c>
      <c r="I189" s="42" t="s">
        <v>905</v>
      </c>
      <c r="J189" s="43" t="s">
        <v>628</v>
      </c>
      <c r="K189" s="8" t="str">
        <f t="shared" si="6"/>
        <v>128-25-33</v>
      </c>
      <c r="L189" s="44" t="s">
        <v>782</v>
      </c>
      <c r="M189" s="8" t="str">
        <f t="shared" si="5"/>
        <v>35-15-18</v>
      </c>
      <c r="N189" s="45">
        <v>42736</v>
      </c>
      <c r="O189" s="42" t="s">
        <v>38</v>
      </c>
      <c r="P189" s="46">
        <v>20.46</v>
      </c>
      <c r="Q189" s="46">
        <v>27.908999999999999</v>
      </c>
      <c r="R189" s="85">
        <v>6.5</v>
      </c>
      <c r="S189" s="41" t="str">
        <f>IF(COUNTA(#REF!)=1,"유","무")</f>
        <v>유</v>
      </c>
      <c r="T189" s="86">
        <v>48.38</v>
      </c>
      <c r="U189" s="86">
        <v>10.58</v>
      </c>
      <c r="V189" s="42" t="s">
        <v>39</v>
      </c>
    </row>
    <row r="190" spans="1:22" ht="27" customHeight="1" x14ac:dyDescent="0.15">
      <c r="A190" s="145">
        <v>184</v>
      </c>
      <c r="B190" s="42">
        <v>2019695</v>
      </c>
      <c r="C190" s="42" t="s">
        <v>442</v>
      </c>
      <c r="D190" s="42" t="s">
        <v>1612</v>
      </c>
      <c r="E190" s="42" t="s">
        <v>46</v>
      </c>
      <c r="F190" s="42" t="s">
        <v>154</v>
      </c>
      <c r="G190" s="75" t="s">
        <v>507</v>
      </c>
      <c r="H190" s="42" t="s">
        <v>82</v>
      </c>
      <c r="I190" s="42" t="s">
        <v>294</v>
      </c>
      <c r="J190" s="43" t="s">
        <v>629</v>
      </c>
      <c r="K190" s="8" t="str">
        <f t="shared" si="6"/>
        <v>128-25-45</v>
      </c>
      <c r="L190" s="44" t="s">
        <v>783</v>
      </c>
      <c r="M190" s="8" t="str">
        <f t="shared" si="5"/>
        <v>35-23-27</v>
      </c>
      <c r="N190" s="45">
        <v>6392</v>
      </c>
      <c r="O190" s="42" t="s">
        <v>38</v>
      </c>
      <c r="P190" s="46">
        <v>3.0859999999999999</v>
      </c>
      <c r="Q190" s="46">
        <v>15.72</v>
      </c>
      <c r="R190" s="85">
        <v>12</v>
      </c>
      <c r="S190" s="41" t="str">
        <f>IF(COUNTA(#REF!)=1,"유","무")</f>
        <v>유</v>
      </c>
      <c r="T190" s="86">
        <v>3466.42</v>
      </c>
      <c r="U190" s="86">
        <v>0.46</v>
      </c>
      <c r="V190" s="42" t="s">
        <v>39</v>
      </c>
    </row>
    <row r="191" spans="1:22" ht="27" customHeight="1" x14ac:dyDescent="0.15">
      <c r="A191" s="145">
        <v>185</v>
      </c>
      <c r="B191" s="42">
        <v>2020603</v>
      </c>
      <c r="C191" s="42" t="s">
        <v>443</v>
      </c>
      <c r="D191" s="42" t="s">
        <v>1613</v>
      </c>
      <c r="E191" s="42" t="s">
        <v>46</v>
      </c>
      <c r="F191" s="42" t="s">
        <v>170</v>
      </c>
      <c r="G191" s="75" t="s">
        <v>37</v>
      </c>
      <c r="H191" s="42" t="s">
        <v>40</v>
      </c>
      <c r="I191" s="42" t="s">
        <v>295</v>
      </c>
      <c r="J191" s="43" t="s">
        <v>630</v>
      </c>
      <c r="K191" s="8" t="str">
        <f t="shared" si="6"/>
        <v>128-39-13</v>
      </c>
      <c r="L191" s="44" t="s">
        <v>784</v>
      </c>
      <c r="M191" s="8" t="str">
        <f t="shared" si="5"/>
        <v>35-30-16</v>
      </c>
      <c r="N191" s="45">
        <v>39479</v>
      </c>
      <c r="O191" s="42" t="s">
        <v>38</v>
      </c>
      <c r="P191" s="46">
        <v>19.757000000000001</v>
      </c>
      <c r="Q191" s="46">
        <v>25.954999999999998</v>
      </c>
      <c r="R191" s="85">
        <v>6</v>
      </c>
      <c r="S191" s="41" t="str">
        <f>IF(COUNTA(#REF!)=1,"유","무")</f>
        <v>유</v>
      </c>
      <c r="T191" s="86">
        <v>73.290000000000006</v>
      </c>
      <c r="U191" s="86">
        <v>16.46</v>
      </c>
      <c r="V191" s="42" t="s">
        <v>39</v>
      </c>
    </row>
    <row r="192" spans="1:22" ht="27" customHeight="1" x14ac:dyDescent="0.15">
      <c r="A192" s="145">
        <v>186</v>
      </c>
      <c r="B192" s="42">
        <v>2020605</v>
      </c>
      <c r="C192" s="42" t="s">
        <v>444</v>
      </c>
      <c r="D192" s="42" t="s">
        <v>1614</v>
      </c>
      <c r="E192" s="42" t="s">
        <v>46</v>
      </c>
      <c r="F192" s="42" t="s">
        <v>172</v>
      </c>
      <c r="G192" s="75" t="s">
        <v>37</v>
      </c>
      <c r="H192" s="42" t="s">
        <v>40</v>
      </c>
      <c r="I192" s="42" t="s">
        <v>296</v>
      </c>
      <c r="J192" s="43" t="s">
        <v>631</v>
      </c>
      <c r="K192" s="8" t="str">
        <f t="shared" si="6"/>
        <v>128-27-45</v>
      </c>
      <c r="L192" s="44" t="s">
        <v>785</v>
      </c>
      <c r="M192" s="8" t="str">
        <f t="shared" si="5"/>
        <v>35-27-27</v>
      </c>
      <c r="N192" s="45">
        <v>39479</v>
      </c>
      <c r="O192" s="42" t="s">
        <v>38</v>
      </c>
      <c r="P192" s="46">
        <v>8.7889999999999997</v>
      </c>
      <c r="Q192" s="46">
        <v>16.68</v>
      </c>
      <c r="R192" s="85">
        <v>6</v>
      </c>
      <c r="S192" s="41" t="str">
        <f>IF(COUNTA(#REF!)=1,"유","무")</f>
        <v>유</v>
      </c>
      <c r="T192" s="86">
        <v>54.18</v>
      </c>
      <c r="U192" s="86">
        <v>10.98</v>
      </c>
      <c r="V192" s="42" t="s">
        <v>39</v>
      </c>
    </row>
    <row r="193" spans="1:22" s="24" customFormat="1" ht="27" customHeight="1" x14ac:dyDescent="0.15">
      <c r="A193" s="145">
        <v>187</v>
      </c>
      <c r="B193" s="42">
        <v>2020615</v>
      </c>
      <c r="C193" s="42" t="s">
        <v>445</v>
      </c>
      <c r="D193" s="42" t="s">
        <v>1615</v>
      </c>
      <c r="E193" s="42" t="s">
        <v>46</v>
      </c>
      <c r="F193" s="42" t="s">
        <v>46</v>
      </c>
      <c r="G193" s="75" t="s">
        <v>37</v>
      </c>
      <c r="H193" s="42" t="s">
        <v>92</v>
      </c>
      <c r="I193" s="42" t="s">
        <v>297</v>
      </c>
      <c r="J193" s="43" t="s">
        <v>632</v>
      </c>
      <c r="K193" s="8" t="str">
        <f t="shared" si="6"/>
        <v>128-29-01</v>
      </c>
      <c r="L193" s="44" t="s">
        <v>786</v>
      </c>
      <c r="M193" s="8" t="str">
        <f t="shared" si="5"/>
        <v>35-23-00</v>
      </c>
      <c r="N193" s="45">
        <v>7884</v>
      </c>
      <c r="O193" s="42" t="s">
        <v>38</v>
      </c>
      <c r="P193" s="46">
        <v>1.895</v>
      </c>
      <c r="Q193" s="46">
        <v>21.609000000000002</v>
      </c>
      <c r="R193" s="85">
        <v>12</v>
      </c>
      <c r="S193" s="41" t="str">
        <f>IF(COUNTA(#REF!)=1,"유","무")</f>
        <v>유</v>
      </c>
      <c r="T193" s="86">
        <v>20354.77</v>
      </c>
      <c r="U193" s="86">
        <v>83.4</v>
      </c>
      <c r="V193" s="42" t="s">
        <v>39</v>
      </c>
    </row>
    <row r="194" spans="1:22" s="24" customFormat="1" ht="27" customHeight="1" x14ac:dyDescent="0.15">
      <c r="A194" s="145">
        <v>188</v>
      </c>
      <c r="B194" s="42">
        <v>2020640</v>
      </c>
      <c r="C194" s="42" t="s">
        <v>446</v>
      </c>
      <c r="D194" s="42" t="s">
        <v>1616</v>
      </c>
      <c r="E194" s="42" t="s">
        <v>46</v>
      </c>
      <c r="F194" s="42" t="s">
        <v>176</v>
      </c>
      <c r="G194" s="75" t="s">
        <v>37</v>
      </c>
      <c r="H194" s="42" t="s">
        <v>98</v>
      </c>
      <c r="I194" s="42" t="s">
        <v>298</v>
      </c>
      <c r="J194" s="43" t="s">
        <v>633</v>
      </c>
      <c r="K194" s="8" t="str">
        <f t="shared" si="6"/>
        <v>128-31-21</v>
      </c>
      <c r="L194" s="44" t="s">
        <v>787</v>
      </c>
      <c r="M194" s="8" t="str">
        <f t="shared" si="5"/>
        <v>35-22-53</v>
      </c>
      <c r="N194" s="45">
        <v>39108</v>
      </c>
      <c r="O194" s="42" t="s">
        <v>38</v>
      </c>
      <c r="P194" s="46">
        <v>-0.16800000000000001</v>
      </c>
      <c r="Q194" s="46">
        <v>19.032</v>
      </c>
      <c r="R194" s="85">
        <v>17</v>
      </c>
      <c r="S194" s="41" t="str">
        <f>IF(COUNTA(#REF!)=1,"유","무")</f>
        <v>유</v>
      </c>
      <c r="T194" s="86">
        <v>157.59</v>
      </c>
      <c r="U194" s="86">
        <v>0.64</v>
      </c>
      <c r="V194" s="42" t="s">
        <v>39</v>
      </c>
    </row>
    <row r="195" spans="1:22" s="24" customFormat="1" ht="27" customHeight="1" x14ac:dyDescent="0.15">
      <c r="A195" s="145">
        <v>189</v>
      </c>
      <c r="B195" s="42">
        <v>2020646</v>
      </c>
      <c r="C195" s="42" t="s">
        <v>448</v>
      </c>
      <c r="D195" s="42" t="s">
        <v>1617</v>
      </c>
      <c r="E195" s="42" t="s">
        <v>46</v>
      </c>
      <c r="F195" s="42" t="s">
        <v>46</v>
      </c>
      <c r="G195" s="75" t="s">
        <v>37</v>
      </c>
      <c r="H195" s="42" t="s">
        <v>1749</v>
      </c>
      <c r="I195" s="42" t="s">
        <v>908</v>
      </c>
      <c r="J195" s="43" t="s">
        <v>635</v>
      </c>
      <c r="K195" s="8" t="str">
        <f t="shared" si="6"/>
        <v>128-33-12</v>
      </c>
      <c r="L195" s="44" t="s">
        <v>789</v>
      </c>
      <c r="M195" s="8" t="str">
        <f t="shared" si="5"/>
        <v>35-22-37</v>
      </c>
      <c r="N195" s="45">
        <v>40935</v>
      </c>
      <c r="O195" s="42" t="s">
        <v>38</v>
      </c>
      <c r="P195" s="46">
        <v>-3.5999999999999997E-2</v>
      </c>
      <c r="Q195" s="46">
        <v>13.379</v>
      </c>
      <c r="R195" s="85">
        <v>8</v>
      </c>
      <c r="S195" s="41" t="str">
        <f>IF(COUNTA(#REF!)=1,"유","무")</f>
        <v>유</v>
      </c>
      <c r="T195" s="86">
        <v>20697</v>
      </c>
      <c r="U195" s="86">
        <v>75.572999999999993</v>
      </c>
      <c r="V195" s="42" t="s">
        <v>39</v>
      </c>
    </row>
    <row r="196" spans="1:22" s="24" customFormat="1" ht="27" customHeight="1" x14ac:dyDescent="0.15">
      <c r="A196" s="145">
        <v>190</v>
      </c>
      <c r="B196" s="42">
        <v>2020647</v>
      </c>
      <c r="C196" s="42" t="s">
        <v>447</v>
      </c>
      <c r="D196" s="42" t="s">
        <v>1618</v>
      </c>
      <c r="E196" s="42" t="s">
        <v>46</v>
      </c>
      <c r="F196" s="42" t="s">
        <v>46</v>
      </c>
      <c r="G196" s="75" t="s">
        <v>37</v>
      </c>
      <c r="H196" s="42" t="s">
        <v>499</v>
      </c>
      <c r="I196" s="42" t="s">
        <v>906</v>
      </c>
      <c r="J196" s="43" t="s">
        <v>634</v>
      </c>
      <c r="K196" s="8" t="str">
        <f t="shared" si="6"/>
        <v>128-33-02</v>
      </c>
      <c r="L196" s="44" t="s">
        <v>788</v>
      </c>
      <c r="M196" s="8" t="str">
        <f t="shared" si="5"/>
        <v>35-22-59</v>
      </c>
      <c r="N196" s="45">
        <v>40935</v>
      </c>
      <c r="O196" s="42" t="s">
        <v>38</v>
      </c>
      <c r="P196" s="46">
        <v>0</v>
      </c>
      <c r="Q196" s="46">
        <v>16.47</v>
      </c>
      <c r="R196" s="85">
        <v>10</v>
      </c>
      <c r="S196" s="41" t="str">
        <f>IF(COUNTA(#REF!)=1,"유","무")</f>
        <v>유</v>
      </c>
      <c r="T196" s="86">
        <v>20697</v>
      </c>
      <c r="U196" s="86">
        <v>75.921999999999997</v>
      </c>
      <c r="V196" s="42" t="s">
        <v>39</v>
      </c>
    </row>
    <row r="197" spans="1:22" ht="27" customHeight="1" x14ac:dyDescent="0.15">
      <c r="A197" s="145">
        <v>191</v>
      </c>
      <c r="B197" s="42">
        <v>2020650</v>
      </c>
      <c r="C197" s="42" t="s">
        <v>449</v>
      </c>
      <c r="D197" s="42" t="s">
        <v>1619</v>
      </c>
      <c r="E197" s="42" t="s">
        <v>46</v>
      </c>
      <c r="F197" s="42" t="s">
        <v>46</v>
      </c>
      <c r="G197" s="75" t="s">
        <v>37</v>
      </c>
      <c r="H197" s="42" t="s">
        <v>82</v>
      </c>
      <c r="I197" s="42" t="s">
        <v>299</v>
      </c>
      <c r="J197" s="43" t="s">
        <v>636</v>
      </c>
      <c r="K197" s="8" t="str">
        <f t="shared" si="6"/>
        <v>128-36-03</v>
      </c>
      <c r="L197" s="44" t="s">
        <v>790</v>
      </c>
      <c r="M197" s="8" t="str">
        <f t="shared" si="5"/>
        <v>35-23-44</v>
      </c>
      <c r="N197" s="45">
        <v>20363</v>
      </c>
      <c r="O197" s="42" t="s">
        <v>38</v>
      </c>
      <c r="P197" s="46">
        <v>-4.0110000000000001</v>
      </c>
      <c r="Q197" s="46">
        <v>12.628</v>
      </c>
      <c r="R197" s="85">
        <v>11</v>
      </c>
      <c r="S197" s="41" t="str">
        <f>IF(COUNTA(#REF!)=1,"유","무")</f>
        <v>유</v>
      </c>
      <c r="T197" s="86">
        <v>20726.95</v>
      </c>
      <c r="U197" s="86">
        <v>70.569999999999993</v>
      </c>
      <c r="V197" s="42" t="s">
        <v>43</v>
      </c>
    </row>
    <row r="198" spans="1:22" ht="27" customHeight="1" x14ac:dyDescent="0.15">
      <c r="A198" s="145">
        <v>192</v>
      </c>
      <c r="B198" s="42">
        <v>2020651</v>
      </c>
      <c r="C198" s="42" t="s">
        <v>450</v>
      </c>
      <c r="D198" s="42" t="s">
        <v>1620</v>
      </c>
      <c r="E198" s="42" t="s">
        <v>46</v>
      </c>
      <c r="F198" s="42" t="s">
        <v>170</v>
      </c>
      <c r="G198" s="75" t="s">
        <v>37</v>
      </c>
      <c r="H198" s="42" t="s">
        <v>40</v>
      </c>
      <c r="I198" s="42" t="s">
        <v>300</v>
      </c>
      <c r="J198" s="43" t="s">
        <v>637</v>
      </c>
      <c r="K198" s="8" t="str">
        <f t="shared" si="6"/>
        <v>128-39-04</v>
      </c>
      <c r="L198" s="44" t="s">
        <v>791</v>
      </c>
      <c r="M198" s="8" t="str">
        <f t="shared" si="5"/>
        <v>35-25-32</v>
      </c>
      <c r="N198" s="45">
        <v>40909</v>
      </c>
      <c r="O198" s="42" t="s">
        <v>38</v>
      </c>
      <c r="P198" s="46">
        <v>1.766</v>
      </c>
      <c r="Q198" s="46">
        <v>14.395</v>
      </c>
      <c r="R198" s="85">
        <v>12</v>
      </c>
      <c r="S198" s="41" t="str">
        <f>IF(COUNTA(#REF!)=1,"유","무")</f>
        <v>유</v>
      </c>
      <c r="T198" s="86">
        <v>159.18</v>
      </c>
      <c r="U198" s="86">
        <v>6.34</v>
      </c>
      <c r="V198" s="42" t="s">
        <v>39</v>
      </c>
    </row>
    <row r="199" spans="1:22" ht="27" customHeight="1" x14ac:dyDescent="0.15">
      <c r="A199" s="145">
        <v>193</v>
      </c>
      <c r="B199" s="42">
        <v>2020660</v>
      </c>
      <c r="C199" s="42" t="s">
        <v>1800</v>
      </c>
      <c r="D199" s="42" t="s">
        <v>1895</v>
      </c>
      <c r="E199" s="42" t="s">
        <v>46</v>
      </c>
      <c r="F199" s="42" t="s">
        <v>44</v>
      </c>
      <c r="G199" s="75" t="s">
        <v>507</v>
      </c>
      <c r="H199" s="42" t="s">
        <v>2299</v>
      </c>
      <c r="I199" s="42" t="s">
        <v>2242</v>
      </c>
      <c r="J199" s="8" t="s">
        <v>2049</v>
      </c>
      <c r="K199" s="8" t="str">
        <f>LEFT(TRIM(J199),7)&amp;TEXT(ROUND(RIGHT(TRIM(J199),LEN(TRIM(J199))-7),0),"00")</f>
        <v>128-37-02</v>
      </c>
      <c r="L199" s="8" t="s">
        <v>2144</v>
      </c>
      <c r="M199" s="8" t="str">
        <f>LEFT(TRIM(L199),6)&amp;TEXT(ROUND(RIGHT(TRIM(L199),LEN(TRIM(L199))-6),0),"00")</f>
        <v>35-20-42</v>
      </c>
      <c r="N199" s="45">
        <v>45658</v>
      </c>
      <c r="O199" s="42"/>
      <c r="P199" s="46">
        <v>3.77</v>
      </c>
      <c r="Q199" s="47">
        <v>14.904999999999999</v>
      </c>
      <c r="R199" s="85">
        <v>9</v>
      </c>
      <c r="S199" s="41" t="str">
        <f>IF(COUNTA(#REF!)=1,"유","무")</f>
        <v>유</v>
      </c>
      <c r="T199" s="86">
        <v>50.186999999999998</v>
      </c>
      <c r="U199" s="86">
        <v>4.6239999999999997</v>
      </c>
      <c r="V199" s="42"/>
    </row>
    <row r="200" spans="1:22" ht="27" customHeight="1" x14ac:dyDescent="0.15">
      <c r="A200" s="145">
        <v>194</v>
      </c>
      <c r="B200" s="42">
        <v>2020671</v>
      </c>
      <c r="C200" s="42" t="s">
        <v>1789</v>
      </c>
      <c r="D200" s="42" t="s">
        <v>1884</v>
      </c>
      <c r="E200" s="42" t="s">
        <v>46</v>
      </c>
      <c r="F200" s="42" t="s">
        <v>1972</v>
      </c>
      <c r="G200" s="75" t="s">
        <v>37</v>
      </c>
      <c r="H200" s="42" t="s">
        <v>2301</v>
      </c>
      <c r="I200" s="42" t="s">
        <v>2231</v>
      </c>
      <c r="J200" s="8" t="s">
        <v>2038</v>
      </c>
      <c r="K200" s="8" t="str">
        <f>LEFT(TRIM(J200),7)&amp;TEXT(ROUND(RIGHT(TRIM(J200),LEN(TRIM(J200))-7),0),"00")</f>
        <v>128-43-42</v>
      </c>
      <c r="L200" s="8" t="s">
        <v>2133</v>
      </c>
      <c r="M200" s="8" t="str">
        <f>LEFT(TRIM(L200),6)&amp;TEXT(ROUND(RIGHT(TRIM(L200),LEN(TRIM(L200))-6),0),"00")</f>
        <v>35-18-49</v>
      </c>
      <c r="N200" s="45">
        <v>45658</v>
      </c>
      <c r="O200" s="42"/>
      <c r="P200" s="46">
        <v>-0.317</v>
      </c>
      <c r="Q200" s="47">
        <v>6.8819999999999997</v>
      </c>
      <c r="R200" s="85">
        <v>7</v>
      </c>
      <c r="S200" s="41" t="str">
        <f>IF(COUNTA(#REF!)=1,"유","무")</f>
        <v>유</v>
      </c>
      <c r="T200" s="86">
        <v>70.128</v>
      </c>
      <c r="U200" s="86">
        <v>5.4210000000000003</v>
      </c>
      <c r="V200" s="42"/>
    </row>
    <row r="201" spans="1:22" ht="27" customHeight="1" x14ac:dyDescent="0.15">
      <c r="A201" s="145">
        <v>195</v>
      </c>
      <c r="B201" s="42">
        <v>2020675</v>
      </c>
      <c r="C201" s="42" t="s">
        <v>451</v>
      </c>
      <c r="D201" s="42" t="s">
        <v>1621</v>
      </c>
      <c r="E201" s="42" t="s">
        <v>46</v>
      </c>
      <c r="F201" s="42" t="s">
        <v>46</v>
      </c>
      <c r="G201" s="75" t="s">
        <v>37</v>
      </c>
      <c r="H201" s="42" t="s">
        <v>180</v>
      </c>
      <c r="I201" s="42" t="s">
        <v>301</v>
      </c>
      <c r="J201" s="43" t="s">
        <v>638</v>
      </c>
      <c r="K201" s="8" t="str">
        <f t="shared" si="6"/>
        <v>128-42-51</v>
      </c>
      <c r="L201" s="44" t="s">
        <v>792</v>
      </c>
      <c r="M201" s="8" t="str">
        <f t="shared" si="5"/>
        <v>35-21-56</v>
      </c>
      <c r="N201" s="45">
        <v>8798</v>
      </c>
      <c r="O201" s="42" t="s">
        <v>38</v>
      </c>
      <c r="P201" s="46">
        <v>-0.51800000000000002</v>
      </c>
      <c r="Q201" s="46">
        <v>13.217000000000001</v>
      </c>
      <c r="R201" s="85">
        <v>12</v>
      </c>
      <c r="S201" s="41" t="str">
        <f>IF(COUNTA(#REF!)=1,"유","무")</f>
        <v>유</v>
      </c>
      <c r="T201" s="86">
        <v>21060.47</v>
      </c>
      <c r="U201" s="86">
        <v>58.42</v>
      </c>
      <c r="V201" s="42" t="s">
        <v>39</v>
      </c>
    </row>
    <row r="202" spans="1:22" ht="27" customHeight="1" x14ac:dyDescent="0.15">
      <c r="A202" s="145">
        <v>196</v>
      </c>
      <c r="B202" s="42">
        <v>2020680</v>
      </c>
      <c r="C202" s="42" t="s">
        <v>452</v>
      </c>
      <c r="D202" s="42" t="s">
        <v>1622</v>
      </c>
      <c r="E202" s="42" t="s">
        <v>46</v>
      </c>
      <c r="F202" s="42" t="s">
        <v>182</v>
      </c>
      <c r="G202" s="75" t="s">
        <v>37</v>
      </c>
      <c r="H202" s="42" t="s">
        <v>82</v>
      </c>
      <c r="I202" s="42" t="s">
        <v>302</v>
      </c>
      <c r="J202" s="43" t="s">
        <v>639</v>
      </c>
      <c r="K202" s="8" t="str">
        <f t="shared" si="6"/>
        <v>128-48-54</v>
      </c>
      <c r="L202" s="44" t="s">
        <v>1311</v>
      </c>
      <c r="M202" s="8" t="str">
        <f t="shared" si="5"/>
        <v>35-20-10</v>
      </c>
      <c r="N202" s="45">
        <v>39108</v>
      </c>
      <c r="O202" s="42" t="s">
        <v>38</v>
      </c>
      <c r="P202" s="46">
        <v>-0.60799999999999998</v>
      </c>
      <c r="Q202" s="46">
        <v>8.85</v>
      </c>
      <c r="R202" s="85">
        <v>10</v>
      </c>
      <c r="S202" s="41" t="str">
        <f>IF(COUNTA(#REF!)=1,"유","무")</f>
        <v>유</v>
      </c>
      <c r="T202" s="86">
        <v>125.14</v>
      </c>
      <c r="U202" s="86">
        <v>2.52</v>
      </c>
      <c r="V202" s="42" t="s">
        <v>39</v>
      </c>
    </row>
    <row r="203" spans="1:22" ht="27" customHeight="1" x14ac:dyDescent="0.15">
      <c r="A203" s="145">
        <v>197</v>
      </c>
      <c r="B203" s="42">
        <v>2021610</v>
      </c>
      <c r="C203" s="42" t="s">
        <v>453</v>
      </c>
      <c r="D203" s="42" t="s">
        <v>1623</v>
      </c>
      <c r="E203" s="42" t="s">
        <v>46</v>
      </c>
      <c r="F203" s="42" t="s">
        <v>910</v>
      </c>
      <c r="G203" s="75" t="s">
        <v>507</v>
      </c>
      <c r="H203" s="42" t="s">
        <v>40</v>
      </c>
      <c r="I203" s="42" t="s">
        <v>911</v>
      </c>
      <c r="J203" s="43" t="s">
        <v>640</v>
      </c>
      <c r="K203" s="8" t="str">
        <f t="shared" si="6"/>
        <v>129-02-51</v>
      </c>
      <c r="L203" s="44" t="s">
        <v>793</v>
      </c>
      <c r="M203" s="8" t="str">
        <f t="shared" si="5"/>
        <v>35-45-31</v>
      </c>
      <c r="N203" s="45">
        <v>42736</v>
      </c>
      <c r="O203" s="42" t="s">
        <v>38</v>
      </c>
      <c r="P203" s="46">
        <v>191.41200000000001</v>
      </c>
      <c r="Q203" s="46">
        <v>198.27199999999999</v>
      </c>
      <c r="R203" s="85">
        <v>5.5</v>
      </c>
      <c r="S203" s="41" t="str">
        <f>IF(COUNTA(#REF!)=1,"유","무")</f>
        <v>유</v>
      </c>
      <c r="T203" s="86">
        <v>62.32</v>
      </c>
      <c r="U203" s="86">
        <v>47.47</v>
      </c>
      <c r="V203" s="42" t="s">
        <v>39</v>
      </c>
    </row>
    <row r="204" spans="1:22" ht="27" customHeight="1" x14ac:dyDescent="0.15">
      <c r="A204" s="145">
        <v>198</v>
      </c>
      <c r="B204" s="42">
        <v>2021640</v>
      </c>
      <c r="C204" s="42" t="s">
        <v>454</v>
      </c>
      <c r="D204" s="42" t="s">
        <v>1624</v>
      </c>
      <c r="E204" s="42" t="s">
        <v>46</v>
      </c>
      <c r="F204" s="42" t="s">
        <v>170</v>
      </c>
      <c r="G204" s="75" t="s">
        <v>507</v>
      </c>
      <c r="H204" s="42" t="s">
        <v>40</v>
      </c>
      <c r="I204" s="42" t="s">
        <v>303</v>
      </c>
      <c r="J204" s="43" t="s">
        <v>641</v>
      </c>
      <c r="K204" s="8" t="str">
        <f t="shared" si="6"/>
        <v>128-45-46</v>
      </c>
      <c r="L204" s="44" t="s">
        <v>794</v>
      </c>
      <c r="M204" s="8" t="str">
        <f t="shared" ref="M204:M279" si="7">LEFT(TRIM(L204),6)&amp;TEXT(ROUND(RIGHT(TRIM(L204),LEN(TRIM(L204))-6),0),"00")</f>
        <v>35-37-11</v>
      </c>
      <c r="N204" s="45">
        <v>22828</v>
      </c>
      <c r="O204" s="42" t="s">
        <v>38</v>
      </c>
      <c r="P204" s="46">
        <v>53.273000000000003</v>
      </c>
      <c r="Q204" s="46">
        <v>61.871000000000002</v>
      </c>
      <c r="R204" s="85">
        <v>7.9</v>
      </c>
      <c r="S204" s="41" t="str">
        <f>IF(COUNTA(#REF!)=1,"유","무")</f>
        <v>유</v>
      </c>
      <c r="T204" s="86">
        <v>298.32</v>
      </c>
      <c r="U204" s="86">
        <v>9.08</v>
      </c>
      <c r="V204" s="42" t="s">
        <v>43</v>
      </c>
    </row>
    <row r="205" spans="1:22" ht="27" customHeight="1" x14ac:dyDescent="0.15">
      <c r="A205" s="145">
        <v>199</v>
      </c>
      <c r="B205" s="42">
        <v>2021643</v>
      </c>
      <c r="C205" s="42" t="s">
        <v>1843</v>
      </c>
      <c r="D205" s="42" t="s">
        <v>1937</v>
      </c>
      <c r="E205" s="42" t="s">
        <v>46</v>
      </c>
      <c r="F205" s="42" t="s">
        <v>170</v>
      </c>
      <c r="G205" s="75" t="s">
        <v>37</v>
      </c>
      <c r="H205" s="42" t="s">
        <v>2299</v>
      </c>
      <c r="I205" s="42" t="s">
        <v>2284</v>
      </c>
      <c r="J205" s="8" t="s">
        <v>2092</v>
      </c>
      <c r="K205" s="8" t="str">
        <f>LEFT(TRIM(J205),7)&amp;TEXT(ROUND(RIGHT(TRIM(J205),LEN(TRIM(J205))-7),0),"00")</f>
        <v>128-43-47</v>
      </c>
      <c r="L205" s="8" t="s">
        <v>2187</v>
      </c>
      <c r="M205" s="8" t="str">
        <f>LEFT(TRIM(L205),6)&amp;TEXT(ROUND(RIGHT(TRIM(L205),LEN(TRIM(L205))-6),0),"00")</f>
        <v>35-39-35</v>
      </c>
      <c r="N205" s="45">
        <v>45658</v>
      </c>
      <c r="O205" s="42"/>
      <c r="P205" s="46">
        <v>61.615000000000002</v>
      </c>
      <c r="Q205" s="47">
        <v>70.427000000000007</v>
      </c>
      <c r="R205" s="85">
        <v>5</v>
      </c>
      <c r="S205" s="41" t="str">
        <f>IF(COUNTA(#REF!)=1,"유","무")</f>
        <v>유</v>
      </c>
      <c r="T205" s="86">
        <v>233.28700000000001</v>
      </c>
      <c r="U205" s="86">
        <v>15.226000000000001</v>
      </c>
      <c r="V205" s="42"/>
    </row>
    <row r="206" spans="1:22" ht="27" customHeight="1" x14ac:dyDescent="0.15">
      <c r="A206" s="145">
        <v>200</v>
      </c>
      <c r="B206" s="42">
        <v>2021653</v>
      </c>
      <c r="C206" s="42" t="s">
        <v>1793</v>
      </c>
      <c r="D206" s="42" t="s">
        <v>1888</v>
      </c>
      <c r="E206" s="42" t="s">
        <v>46</v>
      </c>
      <c r="F206" s="42" t="s">
        <v>220</v>
      </c>
      <c r="G206" s="75" t="s">
        <v>507</v>
      </c>
      <c r="H206" s="42" t="s">
        <v>2299</v>
      </c>
      <c r="I206" s="42" t="s">
        <v>2235</v>
      </c>
      <c r="J206" s="8" t="s">
        <v>2042</v>
      </c>
      <c r="K206" s="8" t="str">
        <f>LEFT(TRIM(J206),7)&amp;TEXT(ROUND(RIGHT(TRIM(J206),LEN(TRIM(J206))-7),0),"00")</f>
        <v>128-52-15</v>
      </c>
      <c r="L206" s="8" t="s">
        <v>2137</v>
      </c>
      <c r="M206" s="8" t="str">
        <f>LEFT(TRIM(L206),6)&amp;TEXT(ROUND(RIGHT(TRIM(L206),LEN(TRIM(L206))-6),0),"00")</f>
        <v>35-34-34</v>
      </c>
      <c r="N206" s="45">
        <v>45658</v>
      </c>
      <c r="O206" s="42"/>
      <c r="P206" s="46">
        <v>91.742999999999995</v>
      </c>
      <c r="Q206" s="47">
        <v>99.963999999999999</v>
      </c>
      <c r="R206" s="85">
        <v>4</v>
      </c>
      <c r="S206" s="41" t="str">
        <f>IF(COUNTA(#REF!)=1,"유","무")</f>
        <v>유</v>
      </c>
      <c r="T206" s="86">
        <v>85.427999999999997</v>
      </c>
      <c r="U206" s="86">
        <v>7.52</v>
      </c>
      <c r="V206" s="42"/>
    </row>
    <row r="207" spans="1:22" ht="27" customHeight="1" x14ac:dyDescent="0.15">
      <c r="A207" s="145">
        <v>201</v>
      </c>
      <c r="B207" s="42">
        <v>2021664</v>
      </c>
      <c r="C207" s="42" t="s">
        <v>1849</v>
      </c>
      <c r="D207" s="42" t="s">
        <v>1943</v>
      </c>
      <c r="E207" s="42" t="s">
        <v>46</v>
      </c>
      <c r="F207" s="42" t="s">
        <v>170</v>
      </c>
      <c r="G207" s="75" t="s">
        <v>507</v>
      </c>
      <c r="H207" s="42" t="s">
        <v>2300</v>
      </c>
      <c r="I207" s="42" t="s">
        <v>2290</v>
      </c>
      <c r="J207" s="8" t="s">
        <v>2098</v>
      </c>
      <c r="K207" s="8" t="str">
        <f>LEFT(TRIM(J207),7)&amp;TEXT(ROUND(RIGHT(TRIM(J207),LEN(TRIM(J207))-7),0),"00")</f>
        <v>128-46-22</v>
      </c>
      <c r="L207" s="8" t="s">
        <v>2193</v>
      </c>
      <c r="M207" s="8" t="str">
        <f>LEFT(TRIM(L207),6)&amp;TEXT(ROUND(RIGHT(TRIM(L207),LEN(TRIM(L207))-6),0),"00")</f>
        <v>35-34-09</v>
      </c>
      <c r="N207" s="45">
        <v>45658</v>
      </c>
      <c r="O207" s="42"/>
      <c r="P207" s="46">
        <v>28.100999999999999</v>
      </c>
      <c r="Q207" s="47">
        <v>37.686999999999998</v>
      </c>
      <c r="R207" s="85">
        <v>7</v>
      </c>
      <c r="S207" s="41" t="str">
        <f>IF(COUNTA(#REF!)=1,"유","무")</f>
        <v>유</v>
      </c>
      <c r="T207" s="86">
        <v>337.14</v>
      </c>
      <c r="U207" s="86">
        <v>0.189</v>
      </c>
      <c r="V207" s="42"/>
    </row>
    <row r="208" spans="1:22" ht="27" customHeight="1" x14ac:dyDescent="0.15">
      <c r="A208" s="145">
        <v>202</v>
      </c>
      <c r="B208" s="42">
        <v>2021665</v>
      </c>
      <c r="C208" s="42" t="s">
        <v>455</v>
      </c>
      <c r="D208" s="42" t="s">
        <v>1625</v>
      </c>
      <c r="E208" s="42" t="s">
        <v>46</v>
      </c>
      <c r="F208" s="42" t="s">
        <v>185</v>
      </c>
      <c r="G208" s="75" t="s">
        <v>507</v>
      </c>
      <c r="H208" s="42" t="s">
        <v>1745</v>
      </c>
      <c r="I208" s="42" t="s">
        <v>304</v>
      </c>
      <c r="J208" s="43" t="s">
        <v>642</v>
      </c>
      <c r="K208" s="8" t="str">
        <f t="shared" ref="K208:K279" si="8">LEFT(TRIM(J208),7)&amp;TEXT(ROUND(RIGHT(TRIM(J208),LEN(TRIM(J208))-7),0),"00")</f>
        <v>128-45-53</v>
      </c>
      <c r="L208" s="44" t="s">
        <v>795</v>
      </c>
      <c r="M208" s="8" t="str">
        <f t="shared" si="7"/>
        <v>35-33-49</v>
      </c>
      <c r="N208" s="45">
        <v>40544</v>
      </c>
      <c r="O208" s="42" t="s">
        <v>38</v>
      </c>
      <c r="P208" s="46">
        <v>25.747</v>
      </c>
      <c r="Q208" s="46">
        <v>36.353999999999999</v>
      </c>
      <c r="R208" s="85">
        <v>9</v>
      </c>
      <c r="S208" s="41" t="str">
        <f>IF(COUNTA(#REF!)=1,"유","무")</f>
        <v>유</v>
      </c>
      <c r="T208" s="86">
        <v>889.43</v>
      </c>
      <c r="U208" s="86">
        <v>30.34</v>
      </c>
      <c r="V208" s="42" t="s">
        <v>39</v>
      </c>
    </row>
    <row r="209" spans="1:22" ht="27" customHeight="1" x14ac:dyDescent="0.15">
      <c r="A209" s="145">
        <v>203</v>
      </c>
      <c r="B209" s="42">
        <v>2021670</v>
      </c>
      <c r="C209" s="42" t="s">
        <v>456</v>
      </c>
      <c r="D209" s="42" t="s">
        <v>1626</v>
      </c>
      <c r="E209" s="42" t="s">
        <v>46</v>
      </c>
      <c r="F209" s="42" t="s">
        <v>187</v>
      </c>
      <c r="G209" s="75" t="s">
        <v>507</v>
      </c>
      <c r="H209" s="42" t="s">
        <v>1359</v>
      </c>
      <c r="I209" s="42" t="s">
        <v>305</v>
      </c>
      <c r="J209" s="43" t="s">
        <v>643</v>
      </c>
      <c r="K209" s="8" t="str">
        <f t="shared" si="8"/>
        <v>128-50-21</v>
      </c>
      <c r="L209" s="44" t="s">
        <v>796</v>
      </c>
      <c r="M209" s="8" t="str">
        <f t="shared" si="7"/>
        <v>35-30-32</v>
      </c>
      <c r="N209" s="45">
        <v>41640</v>
      </c>
      <c r="O209" s="42" t="s">
        <v>38</v>
      </c>
      <c r="P209" s="46">
        <v>31.494</v>
      </c>
      <c r="Q209" s="46">
        <v>40.106000000000002</v>
      </c>
      <c r="R209" s="85">
        <v>8</v>
      </c>
      <c r="S209" s="41" t="str">
        <f>IF(COUNTA(#REF!)=1,"유","무")</f>
        <v>유</v>
      </c>
      <c r="T209" s="86">
        <v>332.19</v>
      </c>
      <c r="U209" s="86">
        <v>6.03</v>
      </c>
      <c r="V209" s="42" t="s">
        <v>39</v>
      </c>
    </row>
    <row r="210" spans="1:22" ht="27" customHeight="1" x14ac:dyDescent="0.15">
      <c r="A210" s="145">
        <v>204</v>
      </c>
      <c r="B210" s="42">
        <v>2021675</v>
      </c>
      <c r="C210" s="42" t="s">
        <v>457</v>
      </c>
      <c r="D210" s="42" t="s">
        <v>1627</v>
      </c>
      <c r="E210" s="42" t="s">
        <v>46</v>
      </c>
      <c r="F210" s="42" t="s">
        <v>185</v>
      </c>
      <c r="G210" s="75" t="s">
        <v>37</v>
      </c>
      <c r="H210" s="42" t="s">
        <v>98</v>
      </c>
      <c r="I210" s="42" t="s">
        <v>306</v>
      </c>
      <c r="J210" s="43" t="s">
        <v>644</v>
      </c>
      <c r="K210" s="8" t="str">
        <f t="shared" si="8"/>
        <v>128-46-45</v>
      </c>
      <c r="L210" s="44" t="s">
        <v>797</v>
      </c>
      <c r="M210" s="8" t="str">
        <f t="shared" si="7"/>
        <v>35-29-39</v>
      </c>
      <c r="N210" s="45">
        <v>6242</v>
      </c>
      <c r="O210" s="42" t="s">
        <v>38</v>
      </c>
      <c r="P210" s="46">
        <v>11.154</v>
      </c>
      <c r="Q210" s="46">
        <v>20.440000000000001</v>
      </c>
      <c r="R210" s="85">
        <v>8.8000000000000007</v>
      </c>
      <c r="S210" s="41" t="str">
        <f>IF(COUNTA(#REF!)=1,"유","무")</f>
        <v>유</v>
      </c>
      <c r="T210" s="86">
        <v>1288.56</v>
      </c>
      <c r="U210" s="86">
        <v>20.68</v>
      </c>
      <c r="V210" s="42" t="s">
        <v>39</v>
      </c>
    </row>
    <row r="211" spans="1:22" ht="27" customHeight="1" x14ac:dyDescent="0.15">
      <c r="A211" s="145">
        <v>205</v>
      </c>
      <c r="B211" s="42">
        <v>2021677</v>
      </c>
      <c r="C211" s="42" t="s">
        <v>458</v>
      </c>
      <c r="D211" s="42" t="s">
        <v>1628</v>
      </c>
      <c r="E211" s="42" t="s">
        <v>46</v>
      </c>
      <c r="F211" s="42" t="s">
        <v>185</v>
      </c>
      <c r="G211" s="75" t="s">
        <v>37</v>
      </c>
      <c r="H211" s="42" t="s">
        <v>98</v>
      </c>
      <c r="I211" s="42" t="s">
        <v>307</v>
      </c>
      <c r="J211" s="43" t="s">
        <v>645</v>
      </c>
      <c r="K211" s="8" t="str">
        <f t="shared" si="8"/>
        <v>128-44-49</v>
      </c>
      <c r="L211" s="44" t="s">
        <v>798</v>
      </c>
      <c r="M211" s="8" t="str">
        <f t="shared" si="7"/>
        <v>35-29-21</v>
      </c>
      <c r="N211" s="45">
        <v>39108</v>
      </c>
      <c r="O211" s="42" t="s">
        <v>38</v>
      </c>
      <c r="P211" s="46">
        <v>5.3650000000000002</v>
      </c>
      <c r="Q211" s="46">
        <v>11.052</v>
      </c>
      <c r="R211" s="85">
        <v>10</v>
      </c>
      <c r="S211" s="41" t="str">
        <f>IF(COUNTA(#REF!)=1,"유","무")</f>
        <v>유</v>
      </c>
      <c r="T211" s="86">
        <v>1297.31</v>
      </c>
      <c r="U211" s="86">
        <v>17.170000000000002</v>
      </c>
      <c r="V211" s="42" t="s">
        <v>39</v>
      </c>
    </row>
    <row r="212" spans="1:22" ht="27" customHeight="1" x14ac:dyDescent="0.15">
      <c r="A212" s="145">
        <v>206</v>
      </c>
      <c r="B212" s="42">
        <v>2021685</v>
      </c>
      <c r="C212" s="42" t="s">
        <v>459</v>
      </c>
      <c r="D212" s="42" t="s">
        <v>1629</v>
      </c>
      <c r="E212" s="42" t="s">
        <v>46</v>
      </c>
      <c r="F212" s="42" t="s">
        <v>185</v>
      </c>
      <c r="G212" s="75" t="s">
        <v>37</v>
      </c>
      <c r="H212" s="42" t="s">
        <v>40</v>
      </c>
      <c r="I212" s="42" t="s">
        <v>308</v>
      </c>
      <c r="J212" s="43" t="s">
        <v>646</v>
      </c>
      <c r="K212" s="8" t="str">
        <f t="shared" si="8"/>
        <v>128-47-08</v>
      </c>
      <c r="L212" s="44" t="s">
        <v>799</v>
      </c>
      <c r="M212" s="8" t="str">
        <f t="shared" si="7"/>
        <v>35-27-41</v>
      </c>
      <c r="N212" s="45">
        <v>32143</v>
      </c>
      <c r="O212" s="42" t="s">
        <v>38</v>
      </c>
      <c r="P212" s="46">
        <v>4.5999999999999999E-2</v>
      </c>
      <c r="Q212" s="46">
        <v>11.583</v>
      </c>
      <c r="R212" s="85">
        <v>11</v>
      </c>
      <c r="S212" s="41" t="str">
        <f>IF(COUNTA(#REF!)=1,"유","무")</f>
        <v>유</v>
      </c>
      <c r="T212" s="86">
        <v>1365.93</v>
      </c>
      <c r="U212" s="86">
        <v>10.88</v>
      </c>
      <c r="V212" s="42" t="s">
        <v>39</v>
      </c>
    </row>
    <row r="213" spans="1:22" ht="27" customHeight="1" x14ac:dyDescent="0.15">
      <c r="A213" s="145">
        <v>207</v>
      </c>
      <c r="B213" s="42">
        <v>2021690</v>
      </c>
      <c r="C213" s="42" t="s">
        <v>460</v>
      </c>
      <c r="D213" s="42" t="s">
        <v>1630</v>
      </c>
      <c r="E213" s="42" t="s">
        <v>46</v>
      </c>
      <c r="F213" s="42" t="s">
        <v>185</v>
      </c>
      <c r="G213" s="75" t="s">
        <v>37</v>
      </c>
      <c r="H213" s="42" t="s">
        <v>50</v>
      </c>
      <c r="I213" s="42" t="s">
        <v>309</v>
      </c>
      <c r="J213" s="43" t="s">
        <v>647</v>
      </c>
      <c r="K213" s="8" t="str">
        <f t="shared" si="8"/>
        <v>128-47-42</v>
      </c>
      <c r="L213" s="44" t="s">
        <v>800</v>
      </c>
      <c r="M213" s="8" t="str">
        <f t="shared" si="7"/>
        <v>35-24-41</v>
      </c>
      <c r="N213" s="45">
        <v>38742</v>
      </c>
      <c r="O213" s="42" t="s">
        <v>38</v>
      </c>
      <c r="P213" s="46">
        <v>-0.88</v>
      </c>
      <c r="Q213" s="46">
        <v>13.395</v>
      </c>
      <c r="R213" s="85">
        <v>9</v>
      </c>
      <c r="S213" s="41" t="str">
        <f>IF(COUNTA(#REF!)=1,"유","무")</f>
        <v>유</v>
      </c>
      <c r="T213" s="86">
        <v>1406.34</v>
      </c>
      <c r="U213" s="86">
        <v>4.6100000000000003</v>
      </c>
      <c r="V213" s="42" t="s">
        <v>39</v>
      </c>
    </row>
    <row r="214" spans="1:22" ht="27" customHeight="1" x14ac:dyDescent="0.15">
      <c r="A214" s="145">
        <v>208</v>
      </c>
      <c r="B214" s="42">
        <v>2022610</v>
      </c>
      <c r="C214" s="42" t="s">
        <v>461</v>
      </c>
      <c r="D214" s="42" t="s">
        <v>1631</v>
      </c>
      <c r="E214" s="42" t="s">
        <v>46</v>
      </c>
      <c r="F214" s="42" t="s">
        <v>46</v>
      </c>
      <c r="G214" s="75" t="s">
        <v>37</v>
      </c>
      <c r="H214" s="42" t="s">
        <v>98</v>
      </c>
      <c r="I214" s="22" t="s">
        <v>310</v>
      </c>
      <c r="J214" s="77" t="s">
        <v>648</v>
      </c>
      <c r="K214" s="8" t="str">
        <f t="shared" si="8"/>
        <v>128-49-18</v>
      </c>
      <c r="L214" s="44" t="s">
        <v>801</v>
      </c>
      <c r="M214" s="8" t="str">
        <f t="shared" si="7"/>
        <v>35-22-58</v>
      </c>
      <c r="N214" s="45">
        <v>20302</v>
      </c>
      <c r="O214" s="42" t="s">
        <v>41</v>
      </c>
      <c r="P214" s="46">
        <v>-0.82799999999999996</v>
      </c>
      <c r="Q214" s="46">
        <v>7.7910000000000004</v>
      </c>
      <c r="R214" s="85">
        <v>11</v>
      </c>
      <c r="S214" s="41" t="str">
        <f>IF(COUNTA(#REF!)=1,"유","무")</f>
        <v>유</v>
      </c>
      <c r="T214" s="86">
        <v>22775.43</v>
      </c>
      <c r="U214" s="86">
        <v>45.69</v>
      </c>
      <c r="V214" s="42" t="s">
        <v>39</v>
      </c>
    </row>
    <row r="215" spans="1:22" ht="27" customHeight="1" x14ac:dyDescent="0.15">
      <c r="A215" s="145">
        <v>209</v>
      </c>
      <c r="B215" s="42">
        <v>2022640</v>
      </c>
      <c r="C215" s="42" t="s">
        <v>462</v>
      </c>
      <c r="D215" s="42" t="s">
        <v>1632</v>
      </c>
      <c r="E215" s="42" t="s">
        <v>46</v>
      </c>
      <c r="F215" s="42" t="s">
        <v>46</v>
      </c>
      <c r="G215" s="75" t="s">
        <v>37</v>
      </c>
      <c r="H215" s="42" t="s">
        <v>40</v>
      </c>
      <c r="I215" s="42" t="s">
        <v>311</v>
      </c>
      <c r="J215" s="43" t="s">
        <v>649</v>
      </c>
      <c r="K215" s="8" t="str">
        <f t="shared" si="8"/>
        <v>128-59-39</v>
      </c>
      <c r="L215" s="44" t="s">
        <v>802</v>
      </c>
      <c r="M215" s="8" t="str">
        <f t="shared" si="7"/>
        <v>35-17-22</v>
      </c>
      <c r="N215" s="45">
        <v>12785</v>
      </c>
      <c r="O215" s="42" t="s">
        <v>41</v>
      </c>
      <c r="P215" s="46">
        <v>-0.80700000000000005</v>
      </c>
      <c r="Q215" s="46">
        <v>6.27</v>
      </c>
      <c r="R215" s="85">
        <v>9</v>
      </c>
      <c r="S215" s="41" t="str">
        <f>IF(COUNTA(#REF!)=1,"유","무")</f>
        <v>유</v>
      </c>
      <c r="T215" s="86">
        <v>23027.77</v>
      </c>
      <c r="U215" s="86">
        <v>22.977</v>
      </c>
      <c r="V215" s="42" t="s">
        <v>39</v>
      </c>
    </row>
    <row r="216" spans="1:22" s="23" customFormat="1" ht="27" customHeight="1" x14ac:dyDescent="0.15">
      <c r="A216" s="145">
        <v>210</v>
      </c>
      <c r="B216" s="42">
        <v>2022651</v>
      </c>
      <c r="C216" s="42" t="s">
        <v>1704</v>
      </c>
      <c r="D216" s="42" t="s">
        <v>1705</v>
      </c>
      <c r="E216" s="42" t="s">
        <v>46</v>
      </c>
      <c r="F216" s="42" t="s">
        <v>194</v>
      </c>
      <c r="G216" s="75" t="s">
        <v>507</v>
      </c>
      <c r="H216" s="42" t="s">
        <v>50</v>
      </c>
      <c r="I216" s="42" t="s">
        <v>1736</v>
      </c>
      <c r="J216" s="8" t="s">
        <v>1737</v>
      </c>
      <c r="K216" s="8" t="s">
        <v>1706</v>
      </c>
      <c r="L216" s="8" t="s">
        <v>1740</v>
      </c>
      <c r="M216" s="8" t="s">
        <v>1741</v>
      </c>
      <c r="N216" s="45">
        <v>45306</v>
      </c>
      <c r="O216" s="42" t="s">
        <v>38</v>
      </c>
      <c r="P216" s="46">
        <v>30.719000000000001</v>
      </c>
      <c r="Q216" s="47">
        <v>38.969000000000001</v>
      </c>
      <c r="R216" s="85">
        <v>6.3</v>
      </c>
      <c r="S216" s="41" t="str">
        <f>IF(COUNTA(#REF!)=1,"유","무")</f>
        <v>유</v>
      </c>
      <c r="T216" s="86">
        <v>106.497</v>
      </c>
      <c r="U216" s="86">
        <v>17.149000000000001</v>
      </c>
      <c r="V216" s="42" t="s">
        <v>1299</v>
      </c>
    </row>
    <row r="217" spans="1:22" ht="27" customHeight="1" x14ac:dyDescent="0.15">
      <c r="A217" s="145">
        <v>211</v>
      </c>
      <c r="B217" s="42">
        <v>2022655</v>
      </c>
      <c r="C217" s="42" t="s">
        <v>463</v>
      </c>
      <c r="D217" s="42" t="s">
        <v>1633</v>
      </c>
      <c r="E217" s="42" t="s">
        <v>46</v>
      </c>
      <c r="F217" s="42" t="s">
        <v>194</v>
      </c>
      <c r="G217" s="75" t="s">
        <v>37</v>
      </c>
      <c r="H217" s="42" t="s">
        <v>50</v>
      </c>
      <c r="I217" s="42" t="s">
        <v>312</v>
      </c>
      <c r="J217" s="43" t="s">
        <v>650</v>
      </c>
      <c r="K217" s="8" t="str">
        <f t="shared" si="8"/>
        <v>129-02-49</v>
      </c>
      <c r="L217" s="44" t="s">
        <v>803</v>
      </c>
      <c r="M217" s="8" t="str">
        <f t="shared" si="7"/>
        <v>35-22-50</v>
      </c>
      <c r="N217" s="45">
        <v>38742</v>
      </c>
      <c r="O217" s="42" t="s">
        <v>38</v>
      </c>
      <c r="P217" s="46">
        <v>7.2469999999999999</v>
      </c>
      <c r="Q217" s="46">
        <v>15.002000000000001</v>
      </c>
      <c r="R217" s="85">
        <v>8</v>
      </c>
      <c r="S217" s="41" t="str">
        <f>IF(COUNTA(#REF!)=1,"유","무")</f>
        <v>유</v>
      </c>
      <c r="T217" s="86">
        <v>137.18</v>
      </c>
      <c r="U217" s="86">
        <v>11.04</v>
      </c>
      <c r="V217" s="42" t="s">
        <v>39</v>
      </c>
    </row>
    <row r="218" spans="1:22" ht="27" customHeight="1" x14ac:dyDescent="0.15">
      <c r="A218" s="145">
        <v>212</v>
      </c>
      <c r="B218" s="42">
        <v>2022660</v>
      </c>
      <c r="C218" s="42" t="s">
        <v>464</v>
      </c>
      <c r="D218" s="42" t="s">
        <v>1634</v>
      </c>
      <c r="E218" s="42" t="s">
        <v>46</v>
      </c>
      <c r="F218" s="42" t="s">
        <v>194</v>
      </c>
      <c r="G218" s="75" t="s">
        <v>37</v>
      </c>
      <c r="H218" s="42" t="s">
        <v>87</v>
      </c>
      <c r="I218" s="42" t="s">
        <v>313</v>
      </c>
      <c r="J218" s="43" t="s">
        <v>651</v>
      </c>
      <c r="K218" s="8" t="str">
        <f t="shared" si="8"/>
        <v>129-02-10</v>
      </c>
      <c r="L218" s="44" t="s">
        <v>804</v>
      </c>
      <c r="M218" s="8" t="str">
        <f t="shared" si="7"/>
        <v>35-21-27</v>
      </c>
      <c r="N218" s="45">
        <v>22828</v>
      </c>
      <c r="O218" s="42" t="s">
        <v>38</v>
      </c>
      <c r="P218" s="46">
        <v>4.258</v>
      </c>
      <c r="Q218" s="46">
        <v>12.532</v>
      </c>
      <c r="R218" s="85">
        <v>8</v>
      </c>
      <c r="S218" s="41" t="str">
        <f>IF(COUNTA(#REF!)=1,"유","무")</f>
        <v>유</v>
      </c>
      <c r="T218" s="86">
        <v>176.91</v>
      </c>
      <c r="U218" s="86">
        <v>8.26</v>
      </c>
      <c r="V218" s="42" t="s">
        <v>39</v>
      </c>
    </row>
    <row r="219" spans="1:22" s="23" customFormat="1" ht="27" customHeight="1" x14ac:dyDescent="0.15">
      <c r="A219" s="145">
        <v>213</v>
      </c>
      <c r="B219" s="42">
        <v>2022662</v>
      </c>
      <c r="C219" s="42" t="s">
        <v>1707</v>
      </c>
      <c r="D219" s="42" t="s">
        <v>1708</v>
      </c>
      <c r="E219" s="42" t="s">
        <v>46</v>
      </c>
      <c r="F219" s="42" t="s">
        <v>1709</v>
      </c>
      <c r="G219" s="75" t="s">
        <v>37</v>
      </c>
      <c r="H219" s="42" t="s">
        <v>50</v>
      </c>
      <c r="I219" s="42" t="s">
        <v>1738</v>
      </c>
      <c r="J219" s="8" t="s">
        <v>1739</v>
      </c>
      <c r="K219" s="8" t="s">
        <v>1710</v>
      </c>
      <c r="L219" s="8" t="s">
        <v>1711</v>
      </c>
      <c r="M219" s="8" t="s">
        <v>1712</v>
      </c>
      <c r="N219" s="45">
        <v>45306</v>
      </c>
      <c r="O219" s="42" t="s">
        <v>38</v>
      </c>
      <c r="P219" s="46">
        <v>20.661000000000001</v>
      </c>
      <c r="Q219" s="47">
        <v>24.931000000000001</v>
      </c>
      <c r="R219" s="85">
        <v>5</v>
      </c>
      <c r="S219" s="41" t="str">
        <f>IF(COUNTA(#REF!)=1,"유","무")</f>
        <v>유</v>
      </c>
      <c r="T219" s="86">
        <v>20.768999999999998</v>
      </c>
      <c r="U219" s="86">
        <v>1.5469999999999999</v>
      </c>
      <c r="V219" s="42" t="s">
        <v>1299</v>
      </c>
    </row>
    <row r="220" spans="1:22" ht="27" customHeight="1" x14ac:dyDescent="0.15">
      <c r="A220" s="145">
        <v>214</v>
      </c>
      <c r="B220" s="42">
        <v>2022670</v>
      </c>
      <c r="C220" s="42" t="s">
        <v>465</v>
      </c>
      <c r="D220" s="42" t="s">
        <v>1635</v>
      </c>
      <c r="E220" s="42" t="s">
        <v>46</v>
      </c>
      <c r="F220" s="42" t="s">
        <v>194</v>
      </c>
      <c r="G220" s="75" t="s">
        <v>37</v>
      </c>
      <c r="H220" s="42" t="s">
        <v>50</v>
      </c>
      <c r="I220" s="42" t="s">
        <v>314</v>
      </c>
      <c r="J220" s="43" t="s">
        <v>652</v>
      </c>
      <c r="K220" s="8" t="str">
        <f t="shared" si="8"/>
        <v>129-00-47</v>
      </c>
      <c r="L220" s="44" t="s">
        <v>805</v>
      </c>
      <c r="M220" s="8" t="str">
        <f t="shared" si="7"/>
        <v>35-17-20</v>
      </c>
      <c r="N220" s="45">
        <v>38744</v>
      </c>
      <c r="O220" s="42" t="s">
        <v>38</v>
      </c>
      <c r="P220" s="46">
        <v>-0.98499999999999999</v>
      </c>
      <c r="Q220" s="46">
        <v>11.707000000000001</v>
      </c>
      <c r="R220" s="85">
        <v>10</v>
      </c>
      <c r="S220" s="41" t="str">
        <f>IF(COUNTA(#REF!)=1,"유","무")</f>
        <v>유</v>
      </c>
      <c r="T220" s="86">
        <v>245.28</v>
      </c>
      <c r="U220" s="86">
        <v>0.2</v>
      </c>
      <c r="V220" s="42" t="s">
        <v>39</v>
      </c>
    </row>
    <row r="221" spans="1:22" s="23" customFormat="1" ht="27" customHeight="1" x14ac:dyDescent="0.15">
      <c r="A221" s="145">
        <v>215</v>
      </c>
      <c r="B221" s="42">
        <v>2022678</v>
      </c>
      <c r="C221" s="42" t="s">
        <v>1713</v>
      </c>
      <c r="D221" s="42" t="s">
        <v>1751</v>
      </c>
      <c r="E221" s="42" t="s">
        <v>1422</v>
      </c>
      <c r="F221" s="42" t="s">
        <v>1422</v>
      </c>
      <c r="G221" s="75" t="s">
        <v>37</v>
      </c>
      <c r="H221" s="42" t="s">
        <v>87</v>
      </c>
      <c r="I221" s="42" t="s">
        <v>1714</v>
      </c>
      <c r="J221" s="8" t="s">
        <v>1715</v>
      </c>
      <c r="K221" s="8" t="str">
        <f>LEFT(TRIM(J221),7)&amp;TEXT(ROUND(RIGHT(TRIM(J221),LEN(TRIM(J221))-7),0),"00")</f>
        <v>128-58-34</v>
      </c>
      <c r="L221" s="8" t="s">
        <v>1716</v>
      </c>
      <c r="M221" s="8" t="str">
        <f>LEFT(TRIM(L221),6)&amp;TEXT(ROUND(RIGHT(TRIM(L221),LEN(TRIM(L221))-6),0),"00")</f>
        <v>35-13-30</v>
      </c>
      <c r="N221" s="45">
        <v>45336</v>
      </c>
      <c r="O221" s="42" t="s">
        <v>38</v>
      </c>
      <c r="P221" s="46">
        <v>-3.843</v>
      </c>
      <c r="Q221" s="47">
        <v>2.129</v>
      </c>
      <c r="R221" s="85">
        <v>8</v>
      </c>
      <c r="S221" s="41" t="str">
        <f>IF(COUNTA(#REF!)=1,"유","무")</f>
        <v>유</v>
      </c>
      <c r="T221" s="86">
        <v>14.077</v>
      </c>
      <c r="U221" s="86">
        <v>20.09</v>
      </c>
      <c r="V221" s="42" t="s">
        <v>1299</v>
      </c>
    </row>
    <row r="222" spans="1:22" ht="27" customHeight="1" x14ac:dyDescent="0.15">
      <c r="A222" s="145">
        <v>216</v>
      </c>
      <c r="B222" s="42">
        <v>2022680</v>
      </c>
      <c r="C222" s="42" t="s">
        <v>466</v>
      </c>
      <c r="D222" s="42" t="s">
        <v>1636</v>
      </c>
      <c r="E222" s="42" t="s">
        <v>46</v>
      </c>
      <c r="F222" s="42" t="s">
        <v>46</v>
      </c>
      <c r="G222" s="75" t="s">
        <v>37</v>
      </c>
      <c r="H222" s="42" t="s">
        <v>495</v>
      </c>
      <c r="I222" s="42" t="s">
        <v>315</v>
      </c>
      <c r="J222" s="43" t="s">
        <v>653</v>
      </c>
      <c r="K222" s="8" t="str">
        <f t="shared" si="8"/>
        <v>128-59-36</v>
      </c>
      <c r="L222" s="44" t="s">
        <v>806</v>
      </c>
      <c r="M222" s="8" t="str">
        <f t="shared" si="7"/>
        <v>35-12-13</v>
      </c>
      <c r="N222" s="45">
        <v>10014</v>
      </c>
      <c r="O222" s="42" t="s">
        <v>41</v>
      </c>
      <c r="P222" s="46">
        <v>-1.5920000000000001</v>
      </c>
      <c r="Q222" s="46">
        <v>7.4359999999999999</v>
      </c>
      <c r="R222" s="85">
        <v>9</v>
      </c>
      <c r="S222" s="41" t="str">
        <f>IF(COUNTA(#REF!)=1,"유","무")</f>
        <v>유</v>
      </c>
      <c r="T222" s="86">
        <v>23346.91</v>
      </c>
      <c r="U222" s="86">
        <v>12.28</v>
      </c>
      <c r="V222" s="42" t="s">
        <v>39</v>
      </c>
    </row>
    <row r="223" spans="1:22" ht="27" customHeight="1" x14ac:dyDescent="0.15">
      <c r="A223" s="145">
        <v>217</v>
      </c>
      <c r="B223" s="42">
        <v>2022681</v>
      </c>
      <c r="C223" s="42" t="s">
        <v>1756</v>
      </c>
      <c r="D223" s="42" t="s">
        <v>1851</v>
      </c>
      <c r="E223" s="42" t="s">
        <v>199</v>
      </c>
      <c r="F223" s="42" t="s">
        <v>1945</v>
      </c>
      <c r="G223" s="75" t="s">
        <v>37</v>
      </c>
      <c r="H223" s="42" t="s">
        <v>2296</v>
      </c>
      <c r="I223" s="42" t="s">
        <v>2198</v>
      </c>
      <c r="J223" s="8" t="s">
        <v>2005</v>
      </c>
      <c r="K223" s="8" t="str">
        <f>LEFT(TRIM(J223),7)&amp;TEXT(ROUND(RIGHT(TRIM(J223),LEN(TRIM(J223))-7),0),"00")</f>
        <v>128-52-17</v>
      </c>
      <c r="L223" s="8" t="s">
        <v>2100</v>
      </c>
      <c r="M223" s="8" t="str">
        <f>LEFT(TRIM(L223),6)&amp;TEXT(ROUND(RIGHT(TRIM(L223),LEN(TRIM(L223))-6),0),"00")</f>
        <v>35-14-41</v>
      </c>
      <c r="N223" s="45">
        <v>45658</v>
      </c>
      <c r="O223" s="42"/>
      <c r="P223" s="46">
        <v>5.6879999999999997</v>
      </c>
      <c r="Q223" s="47">
        <v>12.603</v>
      </c>
      <c r="R223" s="85">
        <v>5</v>
      </c>
      <c r="S223" s="41" t="str">
        <f>IF(COUNTA(#REF!)=1,"유","무")</f>
        <v>유</v>
      </c>
      <c r="T223" s="86">
        <v>12.788</v>
      </c>
      <c r="U223" s="86">
        <v>7.9749999999999996</v>
      </c>
      <c r="V223" s="42"/>
    </row>
    <row r="224" spans="1:22" ht="27" customHeight="1" x14ac:dyDescent="0.15">
      <c r="A224" s="145">
        <v>218</v>
      </c>
      <c r="B224" s="42">
        <v>2022682</v>
      </c>
      <c r="C224" s="42" t="s">
        <v>1773</v>
      </c>
      <c r="D224" s="42" t="s">
        <v>1868</v>
      </c>
      <c r="E224" s="42" t="s">
        <v>46</v>
      </c>
      <c r="F224" s="42" t="s">
        <v>1959</v>
      </c>
      <c r="G224" s="75" t="s">
        <v>37</v>
      </c>
      <c r="H224" s="42" t="s">
        <v>2298</v>
      </c>
      <c r="I224" s="42" t="s">
        <v>2215</v>
      </c>
      <c r="J224" s="8" t="s">
        <v>2022</v>
      </c>
      <c r="K224" s="8" t="str">
        <f>LEFT(TRIM(J224),7)&amp;TEXT(ROUND(RIGHT(TRIM(J224),LEN(TRIM(J224))-7),0),"00")</f>
        <v>128-58-53</v>
      </c>
      <c r="L224" s="8" t="s">
        <v>2117</v>
      </c>
      <c r="M224" s="8" t="str">
        <f>LEFT(TRIM(L224),6)&amp;TEXT(ROUND(RIGHT(TRIM(L224),LEN(TRIM(L224))-6),0),"00")</f>
        <v>35-10-55</v>
      </c>
      <c r="N224" s="45">
        <v>45658</v>
      </c>
      <c r="O224" s="42"/>
      <c r="P224" s="46">
        <v>-2.9990000000000001</v>
      </c>
      <c r="Q224" s="47">
        <v>2.3719999999999999</v>
      </c>
      <c r="R224" s="85">
        <v>4</v>
      </c>
      <c r="S224" s="41" t="str">
        <f>IF(COUNTA(#REF!)=1,"유","무")</f>
        <v>유</v>
      </c>
      <c r="T224" s="86">
        <v>8.3119999999999994</v>
      </c>
      <c r="U224" s="86">
        <v>1.9450000000000001</v>
      </c>
      <c r="V224" s="42"/>
    </row>
    <row r="225" spans="1:22" ht="27" customHeight="1" x14ac:dyDescent="0.15">
      <c r="A225" s="145">
        <v>219</v>
      </c>
      <c r="B225" s="42">
        <v>2022684</v>
      </c>
      <c r="C225" s="42" t="s">
        <v>1785</v>
      </c>
      <c r="D225" s="42" t="s">
        <v>1880</v>
      </c>
      <c r="E225" s="42" t="s">
        <v>199</v>
      </c>
      <c r="F225" s="42" t="s">
        <v>1969</v>
      </c>
      <c r="G225" s="75" t="s">
        <v>37</v>
      </c>
      <c r="H225" s="42" t="s">
        <v>2299</v>
      </c>
      <c r="I225" s="42" t="s">
        <v>2227</v>
      </c>
      <c r="J225" s="8" t="s">
        <v>2034</v>
      </c>
      <c r="K225" s="8" t="str">
        <f>LEFT(TRIM(J225),7)&amp;TEXT(ROUND(RIGHT(TRIM(J225),LEN(TRIM(J225))-7),0),"00")</f>
        <v>128-49-05</v>
      </c>
      <c r="L225" s="8" t="s">
        <v>2129</v>
      </c>
      <c r="M225" s="8" t="str">
        <f>LEFT(TRIM(L225),6)&amp;TEXT(ROUND(RIGHT(TRIM(L225),LEN(TRIM(L225))-6),0),"00")</f>
        <v>35-11-53</v>
      </c>
      <c r="N225" s="45">
        <v>45658</v>
      </c>
      <c r="O225" s="42"/>
      <c r="P225" s="46">
        <v>1.7729999999999999</v>
      </c>
      <c r="Q225" s="47">
        <v>7.6710000000000003</v>
      </c>
      <c r="R225" s="85">
        <v>5.5</v>
      </c>
      <c r="S225" s="41" t="str">
        <f>IF(COUNTA(#REF!)=1,"유","무")</f>
        <v>유</v>
      </c>
      <c r="T225" s="86">
        <v>19.984000000000002</v>
      </c>
      <c r="U225" s="86">
        <v>1.1100000000000001</v>
      </c>
      <c r="V225" s="42"/>
    </row>
    <row r="226" spans="1:22" ht="27" customHeight="1" x14ac:dyDescent="0.15">
      <c r="A226" s="145">
        <v>220</v>
      </c>
      <c r="B226" s="42">
        <v>2022685</v>
      </c>
      <c r="C226" s="42" t="s">
        <v>467</v>
      </c>
      <c r="D226" s="42" t="s">
        <v>1637</v>
      </c>
      <c r="E226" s="42" t="s">
        <v>199</v>
      </c>
      <c r="F226" s="42" t="s">
        <v>200</v>
      </c>
      <c r="G226" s="75" t="s">
        <v>37</v>
      </c>
      <c r="H226" s="42" t="s">
        <v>98</v>
      </c>
      <c r="I226" s="42" t="s">
        <v>316</v>
      </c>
      <c r="J226" s="43" t="s">
        <v>654</v>
      </c>
      <c r="K226" s="8" t="str">
        <f t="shared" si="8"/>
        <v>128-50-01</v>
      </c>
      <c r="L226" s="44" t="s">
        <v>807</v>
      </c>
      <c r="M226" s="8" t="str">
        <f t="shared" si="7"/>
        <v>35-12-20</v>
      </c>
      <c r="N226" s="45">
        <v>39479</v>
      </c>
      <c r="O226" s="42" t="s">
        <v>38</v>
      </c>
      <c r="P226" s="46">
        <v>-2.077</v>
      </c>
      <c r="Q226" s="46">
        <v>6.8959999999999999</v>
      </c>
      <c r="R226" s="85">
        <v>8</v>
      </c>
      <c r="S226" s="41" t="str">
        <f>IF(COUNTA(#REF!)=1,"유","무")</f>
        <v>유</v>
      </c>
      <c r="T226" s="86">
        <v>39.6</v>
      </c>
      <c r="U226" s="86">
        <v>8.81</v>
      </c>
      <c r="V226" s="42" t="s">
        <v>39</v>
      </c>
    </row>
    <row r="227" spans="1:22" ht="27" customHeight="1" x14ac:dyDescent="0.15">
      <c r="A227" s="145">
        <v>221</v>
      </c>
      <c r="B227" s="42">
        <v>2022688</v>
      </c>
      <c r="C227" s="42" t="s">
        <v>1482</v>
      </c>
      <c r="D227" s="42" t="s">
        <v>1638</v>
      </c>
      <c r="E227" s="42" t="s">
        <v>1483</v>
      </c>
      <c r="F227" s="42" t="s">
        <v>1484</v>
      </c>
      <c r="G227" s="75" t="s">
        <v>37</v>
      </c>
      <c r="H227" s="42" t="s">
        <v>50</v>
      </c>
      <c r="I227" s="42" t="s">
        <v>1485</v>
      </c>
      <c r="J227" s="43" t="s">
        <v>2305</v>
      </c>
      <c r="K227" s="8" t="str">
        <f t="shared" si="8"/>
        <v>128-55-52</v>
      </c>
      <c r="L227" s="44" t="s">
        <v>1486</v>
      </c>
      <c r="M227" s="8" t="str">
        <f t="shared" si="7"/>
        <v>35-11-51</v>
      </c>
      <c r="N227" s="45">
        <v>45217</v>
      </c>
      <c r="O227" s="42" t="s">
        <v>38</v>
      </c>
      <c r="P227" s="46">
        <v>-2.9119999999999999</v>
      </c>
      <c r="Q227" s="46">
        <v>3.4889999999999999</v>
      </c>
      <c r="R227" s="85">
        <v>7</v>
      </c>
      <c r="S227" s="41" t="str">
        <f>IF(COUNTA(#REF!)=1,"유","무")</f>
        <v>유</v>
      </c>
      <c r="T227" s="86">
        <v>6.6769999999999996</v>
      </c>
      <c r="U227" s="86">
        <v>9.0719999999999992</v>
      </c>
      <c r="V227" s="42" t="s">
        <v>1481</v>
      </c>
    </row>
    <row r="228" spans="1:22" ht="27" customHeight="1" x14ac:dyDescent="0.15">
      <c r="A228" s="145">
        <v>222</v>
      </c>
      <c r="B228" s="42">
        <v>2022690</v>
      </c>
      <c r="C228" s="42" t="s">
        <v>1332</v>
      </c>
      <c r="D228" s="42" t="s">
        <v>1639</v>
      </c>
      <c r="E228" s="42" t="s">
        <v>199</v>
      </c>
      <c r="F228" s="42" t="s">
        <v>199</v>
      </c>
      <c r="G228" s="75" t="s">
        <v>37</v>
      </c>
      <c r="H228" s="42" t="s">
        <v>87</v>
      </c>
      <c r="I228" s="42" t="s">
        <v>1344</v>
      </c>
      <c r="J228" s="43" t="s">
        <v>1333</v>
      </c>
      <c r="K228" s="8" t="str">
        <f t="shared" si="8"/>
        <v>128-54-20</v>
      </c>
      <c r="L228" s="44" t="s">
        <v>1334</v>
      </c>
      <c r="M228" s="8" t="str">
        <f t="shared" si="7"/>
        <v>35-11-31</v>
      </c>
      <c r="N228" s="45">
        <v>44671</v>
      </c>
      <c r="O228" s="42" t="s">
        <v>41</v>
      </c>
      <c r="P228" s="46">
        <v>-6.4580000000000002</v>
      </c>
      <c r="Q228" s="46">
        <v>4.4130000000000003</v>
      </c>
      <c r="R228" s="85">
        <v>4</v>
      </c>
      <c r="S228" s="41" t="str">
        <f>IF(COUNTA(#REF!)=1,"유","무")</f>
        <v>유</v>
      </c>
      <c r="T228" s="86">
        <v>76.58</v>
      </c>
      <c r="U228" s="86">
        <v>8.14</v>
      </c>
      <c r="V228" s="42" t="s">
        <v>1460</v>
      </c>
    </row>
    <row r="229" spans="1:22" ht="27" customHeight="1" x14ac:dyDescent="0.15">
      <c r="A229" s="145">
        <v>223</v>
      </c>
      <c r="B229" s="42">
        <v>2022692</v>
      </c>
      <c r="C229" s="42" t="s">
        <v>1783</v>
      </c>
      <c r="D229" s="42" t="s">
        <v>1878</v>
      </c>
      <c r="E229" s="42" t="s">
        <v>46</v>
      </c>
      <c r="F229" s="42" t="s">
        <v>1967</v>
      </c>
      <c r="G229" s="75" t="s">
        <v>37</v>
      </c>
      <c r="H229" s="42" t="s">
        <v>2300</v>
      </c>
      <c r="I229" s="42" t="s">
        <v>2225</v>
      </c>
      <c r="J229" s="8" t="s">
        <v>2032</v>
      </c>
      <c r="K229" s="8" t="str">
        <f>LEFT(TRIM(J229),7)&amp;TEXT(ROUND(RIGHT(TRIM(J229),LEN(TRIM(J229))-7),0),"00")</f>
        <v>128-59-08</v>
      </c>
      <c r="L229" s="8" t="s">
        <v>2127</v>
      </c>
      <c r="M229" s="8" t="str">
        <f>LEFT(TRIM(L229),6)&amp;TEXT(ROUND(RIGHT(TRIM(L229),LEN(TRIM(L229))-6),0),"00")</f>
        <v>35-08-34</v>
      </c>
      <c r="N229" s="45">
        <v>45658</v>
      </c>
      <c r="O229" s="42"/>
      <c r="P229" s="46">
        <v>3.4590000000000001</v>
      </c>
      <c r="Q229" s="47">
        <v>8.9870000000000001</v>
      </c>
      <c r="R229" s="85">
        <v>5.3</v>
      </c>
      <c r="S229" s="41" t="str">
        <f>IF(COUNTA(#REF!)=1,"유","무")</f>
        <v>유</v>
      </c>
      <c r="T229" s="86">
        <v>5.9089999999999998</v>
      </c>
      <c r="U229" s="86">
        <v>3.0070000000000001</v>
      </c>
      <c r="V229" s="42"/>
    </row>
    <row r="230" spans="1:22" ht="27" customHeight="1" x14ac:dyDescent="0.15">
      <c r="A230" s="145">
        <v>224</v>
      </c>
      <c r="B230" s="42">
        <v>2022693</v>
      </c>
      <c r="C230" s="42" t="s">
        <v>1786</v>
      </c>
      <c r="D230" s="42" t="s">
        <v>1881</v>
      </c>
      <c r="E230" s="42" t="s">
        <v>199</v>
      </c>
      <c r="F230" s="42" t="s">
        <v>1970</v>
      </c>
      <c r="G230" s="75" t="s">
        <v>37</v>
      </c>
      <c r="H230" s="42" t="s">
        <v>2299</v>
      </c>
      <c r="I230" s="42" t="s">
        <v>2228</v>
      </c>
      <c r="J230" s="8" t="s">
        <v>2035</v>
      </c>
      <c r="K230" s="8" t="str">
        <f>LEFT(TRIM(J230),7)&amp;TEXT(ROUND(RIGHT(TRIM(J230),LEN(TRIM(J230))-7),0),"00")</f>
        <v>128-51-29</v>
      </c>
      <c r="L230" s="8" t="s">
        <v>2130</v>
      </c>
      <c r="M230" s="8" t="str">
        <f>LEFT(TRIM(L230),6)&amp;TEXT(ROUND(RIGHT(TRIM(L230),LEN(TRIM(L230))-6),0),"00")</f>
        <v>35-08-21</v>
      </c>
      <c r="N230" s="45">
        <v>45658</v>
      </c>
      <c r="O230" s="42"/>
      <c r="P230" s="46">
        <v>-2.1339999999999999</v>
      </c>
      <c r="Q230" s="47">
        <v>3.8820000000000001</v>
      </c>
      <c r="R230" s="85">
        <v>7.5</v>
      </c>
      <c r="S230" s="41" t="str">
        <f>IF(COUNTA(#REF!)=1,"유","무")</f>
        <v>유</v>
      </c>
      <c r="T230" s="86">
        <v>13.728999999999999</v>
      </c>
      <c r="U230" s="86">
        <v>3.4369999999999998</v>
      </c>
      <c r="V230" s="42"/>
    </row>
    <row r="231" spans="1:22" ht="27" customHeight="1" x14ac:dyDescent="0.15">
      <c r="A231" s="145">
        <v>225</v>
      </c>
      <c r="B231" s="42">
        <v>2101601</v>
      </c>
      <c r="C231" s="42" t="s">
        <v>1806</v>
      </c>
      <c r="D231" s="42" t="s">
        <v>1901</v>
      </c>
      <c r="E231" s="42" t="s">
        <v>202</v>
      </c>
      <c r="F231" s="42" t="s">
        <v>1984</v>
      </c>
      <c r="G231" s="75" t="s">
        <v>507</v>
      </c>
      <c r="H231" s="42" t="s">
        <v>2300</v>
      </c>
      <c r="I231" s="42" t="s">
        <v>2248</v>
      </c>
      <c r="J231" s="8" t="s">
        <v>2055</v>
      </c>
      <c r="K231" s="8" t="str">
        <f>LEFT(TRIM(J231),7)&amp;TEXT(ROUND(RIGHT(TRIM(J231),LEN(TRIM(J231))-7),0),"00")</f>
        <v>129-10-48</v>
      </c>
      <c r="L231" s="8" t="s">
        <v>2150</v>
      </c>
      <c r="M231" s="8" t="str">
        <f>LEFT(TRIM(L231),6)&amp;TEXT(ROUND(RIGHT(TRIM(L231),LEN(TRIM(L231))-6),0),"00")</f>
        <v>35-42-11</v>
      </c>
      <c r="N231" s="45">
        <v>45658</v>
      </c>
      <c r="O231" s="42"/>
      <c r="P231" s="46">
        <v>90.638999999999996</v>
      </c>
      <c r="Q231" s="47">
        <v>97.025000000000006</v>
      </c>
      <c r="R231" s="85">
        <v>5</v>
      </c>
      <c r="S231" s="41" t="str">
        <f>IF(COUNTA(#REF!)=1,"유","무")</f>
        <v>유</v>
      </c>
      <c r="T231" s="86">
        <v>22.806000000000001</v>
      </c>
      <c r="U231" s="86">
        <v>3.7109999999999999</v>
      </c>
      <c r="V231" s="42"/>
    </row>
    <row r="232" spans="1:22" s="23" customFormat="1" ht="27" customHeight="1" x14ac:dyDescent="0.15">
      <c r="A232" s="145">
        <v>226</v>
      </c>
      <c r="B232" s="42">
        <v>2101603</v>
      </c>
      <c r="C232" s="42" t="s">
        <v>1717</v>
      </c>
      <c r="D232" s="42" t="s">
        <v>1718</v>
      </c>
      <c r="E232" s="42" t="s">
        <v>202</v>
      </c>
      <c r="F232" s="42" t="s">
        <v>202</v>
      </c>
      <c r="G232" s="75" t="s">
        <v>37</v>
      </c>
      <c r="H232" s="42" t="s">
        <v>50</v>
      </c>
      <c r="I232" s="42" t="s">
        <v>1722</v>
      </c>
      <c r="J232" s="8" t="s">
        <v>1723</v>
      </c>
      <c r="K232" s="8" t="s">
        <v>1672</v>
      </c>
      <c r="L232" s="8" t="s">
        <v>1673</v>
      </c>
      <c r="M232" s="8" t="s">
        <v>1674</v>
      </c>
      <c r="N232" s="45">
        <v>45306</v>
      </c>
      <c r="O232" s="42" t="s">
        <v>38</v>
      </c>
      <c r="P232" s="46">
        <v>57.957000000000001</v>
      </c>
      <c r="Q232" s="47">
        <v>65.680000000000007</v>
      </c>
      <c r="R232" s="85">
        <v>6</v>
      </c>
      <c r="S232" s="41" t="str">
        <f>IF(COUNTA(#REF!)=1,"유","무")</f>
        <v>유</v>
      </c>
      <c r="T232" s="86">
        <v>78.957999999999998</v>
      </c>
      <c r="U232" s="86">
        <v>46.25</v>
      </c>
      <c r="V232" s="42" t="s">
        <v>1299</v>
      </c>
    </row>
    <row r="233" spans="1:22" ht="27" customHeight="1" x14ac:dyDescent="0.15">
      <c r="A233" s="145">
        <v>227</v>
      </c>
      <c r="B233" s="42">
        <v>2101610</v>
      </c>
      <c r="C233" s="42" t="s">
        <v>468</v>
      </c>
      <c r="D233" s="42" t="s">
        <v>1640</v>
      </c>
      <c r="E233" s="42" t="s">
        <v>202</v>
      </c>
      <c r="F233" s="42" t="s">
        <v>202</v>
      </c>
      <c r="G233" s="75" t="s">
        <v>37</v>
      </c>
      <c r="H233" s="42" t="s">
        <v>40</v>
      </c>
      <c r="I233" s="42" t="s">
        <v>1322</v>
      </c>
      <c r="J233" s="43" t="s">
        <v>655</v>
      </c>
      <c r="K233" s="8" t="str">
        <f t="shared" si="8"/>
        <v>129-12-02</v>
      </c>
      <c r="L233" s="44" t="s">
        <v>808</v>
      </c>
      <c r="M233" s="8" t="str">
        <f t="shared" si="7"/>
        <v>35-47-17</v>
      </c>
      <c r="N233" s="45">
        <v>42370</v>
      </c>
      <c r="O233" s="42" t="s">
        <v>38</v>
      </c>
      <c r="P233" s="46">
        <v>39.53</v>
      </c>
      <c r="Q233" s="46">
        <v>46.776000000000003</v>
      </c>
      <c r="R233" s="85">
        <v>7</v>
      </c>
      <c r="S233" s="41" t="str">
        <f>IF(COUNTA(#REF!)=1,"유","무")</f>
        <v>유</v>
      </c>
      <c r="T233" s="86">
        <v>171.01</v>
      </c>
      <c r="U233" s="86">
        <v>39.42</v>
      </c>
      <c r="V233" s="42" t="s">
        <v>39</v>
      </c>
    </row>
    <row r="234" spans="1:22" ht="27" customHeight="1" x14ac:dyDescent="0.15">
      <c r="A234" s="145">
        <v>228</v>
      </c>
      <c r="B234" s="42">
        <v>2101620</v>
      </c>
      <c r="C234" s="42" t="s">
        <v>469</v>
      </c>
      <c r="D234" s="42" t="s">
        <v>1641</v>
      </c>
      <c r="E234" s="42" t="s">
        <v>202</v>
      </c>
      <c r="F234" s="42" t="s">
        <v>204</v>
      </c>
      <c r="G234" s="75" t="s">
        <v>507</v>
      </c>
      <c r="H234" s="42" t="s">
        <v>40</v>
      </c>
      <c r="I234" s="42" t="s">
        <v>205</v>
      </c>
      <c r="J234" s="43" t="s">
        <v>656</v>
      </c>
      <c r="K234" s="8" t="str">
        <f t="shared" si="8"/>
        <v>129-10-42</v>
      </c>
      <c r="L234" s="44" t="s">
        <v>809</v>
      </c>
      <c r="M234" s="8" t="str">
        <f t="shared" si="7"/>
        <v>35-48-54</v>
      </c>
      <c r="N234" s="45">
        <v>42370</v>
      </c>
      <c r="O234" s="42" t="s">
        <v>38</v>
      </c>
      <c r="P234" s="46">
        <v>33.942</v>
      </c>
      <c r="Q234" s="46">
        <v>42.316000000000003</v>
      </c>
      <c r="R234" s="85">
        <v>5</v>
      </c>
      <c r="S234" s="41" t="str">
        <f>IF(COUNTA(#REF!)=1,"유","무")</f>
        <v>유</v>
      </c>
      <c r="T234" s="86">
        <v>157.11000000000001</v>
      </c>
      <c r="U234" s="86">
        <v>2.0699999999999998</v>
      </c>
      <c r="V234" s="42" t="s">
        <v>39</v>
      </c>
    </row>
    <row r="235" spans="1:22" s="23" customFormat="1" ht="27" customHeight="1" x14ac:dyDescent="0.15">
      <c r="A235" s="145">
        <v>229</v>
      </c>
      <c r="B235" s="42">
        <v>2101624</v>
      </c>
      <c r="C235" s="42" t="s">
        <v>1719</v>
      </c>
      <c r="D235" s="42" t="s">
        <v>1720</v>
      </c>
      <c r="E235" s="42" t="s">
        <v>202</v>
      </c>
      <c r="F235" s="42" t="s">
        <v>86</v>
      </c>
      <c r="G235" s="75" t="s">
        <v>37</v>
      </c>
      <c r="H235" s="42" t="s">
        <v>87</v>
      </c>
      <c r="I235" s="42" t="s">
        <v>1724</v>
      </c>
      <c r="J235" s="8" t="s">
        <v>1725</v>
      </c>
      <c r="K235" s="8" t="s">
        <v>1675</v>
      </c>
      <c r="L235" s="8" t="s">
        <v>1676</v>
      </c>
      <c r="M235" s="8" t="s">
        <v>1677</v>
      </c>
      <c r="N235" s="45">
        <v>45306</v>
      </c>
      <c r="O235" s="42" t="s">
        <v>38</v>
      </c>
      <c r="P235" s="46">
        <v>31.058</v>
      </c>
      <c r="Q235" s="47">
        <v>37.896000000000001</v>
      </c>
      <c r="R235" s="85">
        <v>4.5999999999999996</v>
      </c>
      <c r="S235" s="41" t="str">
        <f>IF(COUNTA(#REF!)=1,"유","무")</f>
        <v>유</v>
      </c>
      <c r="T235" s="86">
        <v>83.316000000000003</v>
      </c>
      <c r="U235" s="86">
        <v>2.004</v>
      </c>
      <c r="V235" s="42" t="s">
        <v>1299</v>
      </c>
    </row>
    <row r="236" spans="1:22" ht="27" customHeight="1" x14ac:dyDescent="0.15">
      <c r="A236" s="145">
        <v>230</v>
      </c>
      <c r="B236" s="42">
        <v>2101625</v>
      </c>
      <c r="C236" s="42" t="s">
        <v>470</v>
      </c>
      <c r="D236" s="42" t="s">
        <v>1642</v>
      </c>
      <c r="E236" s="42" t="s">
        <v>202</v>
      </c>
      <c r="F236" s="42" t="s">
        <v>202</v>
      </c>
      <c r="G236" s="75" t="s">
        <v>37</v>
      </c>
      <c r="H236" s="42" t="s">
        <v>180</v>
      </c>
      <c r="I236" s="42" t="s">
        <v>317</v>
      </c>
      <c r="J236" s="43" t="s">
        <v>657</v>
      </c>
      <c r="K236" s="8" t="str">
        <f t="shared" si="8"/>
        <v>129-12-05</v>
      </c>
      <c r="L236" s="44" t="s">
        <v>810</v>
      </c>
      <c r="M236" s="8" t="str">
        <f t="shared" si="7"/>
        <v>35-50-17</v>
      </c>
      <c r="N236" s="45">
        <v>22828</v>
      </c>
      <c r="O236" s="42" t="s">
        <v>38</v>
      </c>
      <c r="P236" s="46">
        <v>26.585000000000001</v>
      </c>
      <c r="Q236" s="46">
        <v>34.499000000000002</v>
      </c>
      <c r="R236" s="85">
        <v>8</v>
      </c>
      <c r="S236" s="41" t="str">
        <f>IF(COUNTA(#REF!)=1,"유","무")</f>
        <v>유</v>
      </c>
      <c r="T236" s="86">
        <v>443.31</v>
      </c>
      <c r="U236" s="86">
        <v>33.369999999999997</v>
      </c>
      <c r="V236" s="42" t="s">
        <v>43</v>
      </c>
    </row>
    <row r="237" spans="1:22" ht="27" customHeight="1" x14ac:dyDescent="0.15">
      <c r="A237" s="145">
        <v>231</v>
      </c>
      <c r="B237" s="42">
        <v>2101630</v>
      </c>
      <c r="C237" s="42" t="s">
        <v>1760</v>
      </c>
      <c r="D237" s="42" t="s">
        <v>1855</v>
      </c>
      <c r="E237" s="42" t="s">
        <v>202</v>
      </c>
      <c r="F237" s="42" t="s">
        <v>850</v>
      </c>
      <c r="G237" s="75" t="s">
        <v>507</v>
      </c>
      <c r="H237" s="42" t="s">
        <v>2298</v>
      </c>
      <c r="I237" s="42" t="s">
        <v>2202</v>
      </c>
      <c r="J237" s="8" t="s">
        <v>2009</v>
      </c>
      <c r="K237" s="8" t="str">
        <f>LEFT(TRIM(J237),7)&amp;TEXT(ROUND(RIGHT(TRIM(J237),LEN(TRIM(J237))-7),0),"00")</f>
        <v>129-14-14</v>
      </c>
      <c r="L237" s="8" t="s">
        <v>2104</v>
      </c>
      <c r="M237" s="8" t="str">
        <f>LEFT(TRIM(L237),6)&amp;TEXT(ROUND(RIGHT(TRIM(L237),LEN(TRIM(L237))-6),0),"00")</f>
        <v>35-50-36</v>
      </c>
      <c r="N237" s="45">
        <v>45658</v>
      </c>
      <c r="O237" s="42"/>
      <c r="P237" s="46">
        <v>49.420999999999999</v>
      </c>
      <c r="Q237" s="47">
        <v>59.37</v>
      </c>
      <c r="R237" s="85">
        <v>7.8</v>
      </c>
      <c r="S237" s="41" t="str">
        <f>IF(COUNTA(#REF!)=1,"유","무")</f>
        <v>유</v>
      </c>
      <c r="T237" s="86">
        <v>78.138000000000005</v>
      </c>
      <c r="U237" s="86">
        <v>3.83</v>
      </c>
      <c r="V237" s="42"/>
    </row>
    <row r="238" spans="1:22" ht="27" customHeight="1" x14ac:dyDescent="0.15">
      <c r="A238" s="145">
        <v>232</v>
      </c>
      <c r="B238" s="42">
        <v>2101640</v>
      </c>
      <c r="C238" s="42" t="s">
        <v>1763</v>
      </c>
      <c r="D238" s="42" t="s">
        <v>1858</v>
      </c>
      <c r="E238" s="42" t="s">
        <v>202</v>
      </c>
      <c r="F238" s="42" t="s">
        <v>1950</v>
      </c>
      <c r="G238" s="75" t="s">
        <v>507</v>
      </c>
      <c r="H238" s="42" t="s">
        <v>2299</v>
      </c>
      <c r="I238" s="42" t="s">
        <v>2205</v>
      </c>
      <c r="J238" s="8" t="s">
        <v>2012</v>
      </c>
      <c r="K238" s="8" t="str">
        <f>LEFT(TRIM(J238),7)&amp;TEXT(ROUND(RIGHT(TRIM(J238),LEN(TRIM(J238))-7),0),"00")</f>
        <v>129-11-17</v>
      </c>
      <c r="L238" s="8" t="s">
        <v>2107</v>
      </c>
      <c r="M238" s="8" t="str">
        <f>LEFT(TRIM(L238),6)&amp;TEXT(ROUND(RIGHT(TRIM(L238),LEN(TRIM(L238))-6),0),"00")</f>
        <v>35-53-07</v>
      </c>
      <c r="N238" s="45">
        <v>45658</v>
      </c>
      <c r="O238" s="42"/>
      <c r="P238" s="46">
        <v>31.387</v>
      </c>
      <c r="Q238" s="47">
        <v>37.048000000000002</v>
      </c>
      <c r="R238" s="85">
        <v>5</v>
      </c>
      <c r="S238" s="41" t="str">
        <f>IF(COUNTA(#REF!)=1,"유","무")</f>
        <v>유</v>
      </c>
      <c r="T238" s="86">
        <v>36.728999999999999</v>
      </c>
      <c r="U238" s="86">
        <v>2.706</v>
      </c>
      <c r="V238" s="42"/>
    </row>
    <row r="239" spans="1:22" s="25" customFormat="1" ht="27" customHeight="1" x14ac:dyDescent="0.15">
      <c r="A239" s="145">
        <v>233</v>
      </c>
      <c r="B239" s="42">
        <v>2101650</v>
      </c>
      <c r="C239" s="42" t="s">
        <v>471</v>
      </c>
      <c r="D239" s="42" t="s">
        <v>1643</v>
      </c>
      <c r="E239" s="42" t="s">
        <v>202</v>
      </c>
      <c r="F239" s="42" t="s">
        <v>202</v>
      </c>
      <c r="G239" s="75" t="s">
        <v>37</v>
      </c>
      <c r="H239" s="42" t="s">
        <v>1359</v>
      </c>
      <c r="I239" s="42" t="s">
        <v>318</v>
      </c>
      <c r="J239" s="43" t="s">
        <v>658</v>
      </c>
      <c r="K239" s="8" t="str">
        <f t="shared" si="8"/>
        <v>129-14-25</v>
      </c>
      <c r="L239" s="44" t="s">
        <v>811</v>
      </c>
      <c r="M239" s="8" t="str">
        <f t="shared" si="7"/>
        <v>35-55-16</v>
      </c>
      <c r="N239" s="45">
        <v>22828</v>
      </c>
      <c r="O239" s="42" t="s">
        <v>38</v>
      </c>
      <c r="P239" s="46">
        <v>9.0570000000000004</v>
      </c>
      <c r="Q239" s="46">
        <v>16.338999999999999</v>
      </c>
      <c r="R239" s="85">
        <v>7</v>
      </c>
      <c r="S239" s="41" t="str">
        <f>IF(COUNTA(#REF!)=1,"유","무")</f>
        <v>유</v>
      </c>
      <c r="T239" s="86">
        <v>657.19</v>
      </c>
      <c r="U239" s="86">
        <v>22.88</v>
      </c>
      <c r="V239" s="42" t="s">
        <v>39</v>
      </c>
    </row>
    <row r="240" spans="1:22" ht="27" customHeight="1" x14ac:dyDescent="0.15">
      <c r="A240" s="145">
        <v>234</v>
      </c>
      <c r="B240" s="42">
        <v>2101660</v>
      </c>
      <c r="C240" s="42" t="s">
        <v>1847</v>
      </c>
      <c r="D240" s="42" t="s">
        <v>1941</v>
      </c>
      <c r="E240" s="42" t="s">
        <v>202</v>
      </c>
      <c r="F240" s="42" t="s">
        <v>209</v>
      </c>
      <c r="G240" s="75" t="s">
        <v>507</v>
      </c>
      <c r="H240" s="42" t="s">
        <v>2300</v>
      </c>
      <c r="I240" s="42" t="s">
        <v>2288</v>
      </c>
      <c r="J240" s="8" t="s">
        <v>2096</v>
      </c>
      <c r="K240" s="8" t="str">
        <f>LEFT(TRIM(J240),7)&amp;TEXT(ROUND(RIGHT(TRIM(J240),LEN(TRIM(J240))-7),0),"00")</f>
        <v>129-09-22</v>
      </c>
      <c r="L240" s="8" t="s">
        <v>2191</v>
      </c>
      <c r="M240" s="8" t="str">
        <f>LEFT(TRIM(L240),6)&amp;TEXT(ROUND(RIGHT(TRIM(L240),LEN(TRIM(L240))-6),0),"00")</f>
        <v>36-05-23</v>
      </c>
      <c r="N240" s="45">
        <v>45658</v>
      </c>
      <c r="O240" s="42"/>
      <c r="P240" s="46">
        <v>68.944000000000003</v>
      </c>
      <c r="Q240" s="47">
        <v>75.245999999999995</v>
      </c>
      <c r="R240" s="85">
        <v>4</v>
      </c>
      <c r="S240" s="41" t="str">
        <f>IF(COUNTA(#REF!)=1,"유","무")</f>
        <v>유</v>
      </c>
      <c r="T240" s="86">
        <v>76.379000000000005</v>
      </c>
      <c r="U240" s="86">
        <v>16.664999999999999</v>
      </c>
      <c r="V240" s="42"/>
    </row>
    <row r="241" spans="1:22" ht="27" customHeight="1" x14ac:dyDescent="0.15">
      <c r="A241" s="145">
        <v>235</v>
      </c>
      <c r="B241" s="42">
        <v>2101663</v>
      </c>
      <c r="C241" s="42" t="s">
        <v>1761</v>
      </c>
      <c r="D241" s="42" t="s">
        <v>1856</v>
      </c>
      <c r="E241" s="42" t="s">
        <v>202</v>
      </c>
      <c r="F241" s="42" t="s">
        <v>1949</v>
      </c>
      <c r="G241" s="75" t="s">
        <v>507</v>
      </c>
      <c r="H241" s="42" t="s">
        <v>2296</v>
      </c>
      <c r="I241" s="42" t="s">
        <v>2203</v>
      </c>
      <c r="J241" s="8" t="s">
        <v>2010</v>
      </c>
      <c r="K241" s="8" t="str">
        <f>LEFT(TRIM(J241),7)&amp;TEXT(ROUND(RIGHT(TRIM(J241),LEN(TRIM(J241))-7),0),"00")</f>
        <v>129-12-37</v>
      </c>
      <c r="L241" s="8" t="s">
        <v>2105</v>
      </c>
      <c r="M241" s="8" t="str">
        <f>LEFT(TRIM(L241),6)&amp;TEXT(ROUND(RIGHT(TRIM(L241),LEN(TRIM(L241))-6),0),"00")</f>
        <v>35-59-24</v>
      </c>
      <c r="N241" s="45">
        <v>45658</v>
      </c>
      <c r="O241" s="42"/>
      <c r="P241" s="46">
        <v>11.821</v>
      </c>
      <c r="Q241" s="47">
        <v>19.202999999999999</v>
      </c>
      <c r="R241" s="85">
        <v>6</v>
      </c>
      <c r="S241" s="41" t="str">
        <f>IF(COUNTA(#REF!)=1,"유","무")</f>
        <v>유</v>
      </c>
      <c r="T241" s="86">
        <v>77.894999999999996</v>
      </c>
      <c r="U241" s="86">
        <v>3.2320000000000002</v>
      </c>
      <c r="V241" s="42"/>
    </row>
    <row r="242" spans="1:22" ht="27" customHeight="1" x14ac:dyDescent="0.15">
      <c r="A242" s="145">
        <v>236</v>
      </c>
      <c r="B242" s="42">
        <v>2101668</v>
      </c>
      <c r="C242" s="42" t="s">
        <v>472</v>
      </c>
      <c r="D242" s="42" t="s">
        <v>1644</v>
      </c>
      <c r="E242" s="42" t="s">
        <v>202</v>
      </c>
      <c r="F242" s="42" t="s">
        <v>209</v>
      </c>
      <c r="G242" s="75" t="s">
        <v>37</v>
      </c>
      <c r="H242" s="42" t="s">
        <v>40</v>
      </c>
      <c r="I242" s="42" t="s">
        <v>319</v>
      </c>
      <c r="J242" s="43" t="s">
        <v>659</v>
      </c>
      <c r="K242" s="8" t="str">
        <f t="shared" si="8"/>
        <v>129-14-18</v>
      </c>
      <c r="L242" s="44" t="s">
        <v>812</v>
      </c>
      <c r="M242" s="8" t="str">
        <f t="shared" si="7"/>
        <v>36-03-07</v>
      </c>
      <c r="N242" s="45">
        <v>35947</v>
      </c>
      <c r="O242" s="42" t="s">
        <v>38</v>
      </c>
      <c r="P242" s="46">
        <v>19.263999999999999</v>
      </c>
      <c r="Q242" s="46">
        <v>26.875</v>
      </c>
      <c r="R242" s="85">
        <v>5</v>
      </c>
      <c r="S242" s="41" t="str">
        <f>IF(COUNTA(#REF!)=1,"유","무")</f>
        <v>유</v>
      </c>
      <c r="T242" s="86">
        <v>156.44999999999999</v>
      </c>
      <c r="U242" s="86">
        <v>7.69</v>
      </c>
      <c r="V242" s="42" t="s">
        <v>39</v>
      </c>
    </row>
    <row r="243" spans="1:22" ht="27" customHeight="1" x14ac:dyDescent="0.15">
      <c r="A243" s="145">
        <v>237</v>
      </c>
      <c r="B243" s="42">
        <v>2101675</v>
      </c>
      <c r="C243" s="42" t="s">
        <v>913</v>
      </c>
      <c r="D243" s="42" t="s">
        <v>1645</v>
      </c>
      <c r="E243" s="42" t="s">
        <v>202</v>
      </c>
      <c r="F243" s="42" t="s">
        <v>202</v>
      </c>
      <c r="G243" s="75" t="s">
        <v>37</v>
      </c>
      <c r="H243" s="42" t="s">
        <v>98</v>
      </c>
      <c r="I243" s="42" t="s">
        <v>320</v>
      </c>
      <c r="J243" s="43" t="s">
        <v>660</v>
      </c>
      <c r="K243" s="8" t="str">
        <f t="shared" si="8"/>
        <v>129-15-49</v>
      </c>
      <c r="L243" s="44" t="s">
        <v>813</v>
      </c>
      <c r="M243" s="8" t="str">
        <f t="shared" si="7"/>
        <v>35-58-52</v>
      </c>
      <c r="N243" s="45">
        <v>22828</v>
      </c>
      <c r="O243" s="42" t="s">
        <v>38</v>
      </c>
      <c r="P243" s="46">
        <v>0.63900000000000001</v>
      </c>
      <c r="Q243" s="46">
        <v>11.849</v>
      </c>
      <c r="R243" s="85">
        <v>10</v>
      </c>
      <c r="S243" s="41" t="str">
        <f>IF(COUNTA(#REF!)=1,"유","무")</f>
        <v>유</v>
      </c>
      <c r="T243" s="86">
        <v>1000.09</v>
      </c>
      <c r="U243" s="86">
        <v>13.56</v>
      </c>
      <c r="V243" s="42" t="s">
        <v>39</v>
      </c>
    </row>
    <row r="244" spans="1:22" ht="27" customHeight="1" x14ac:dyDescent="0.15">
      <c r="A244" s="145">
        <v>238</v>
      </c>
      <c r="B244" s="42">
        <v>2101687</v>
      </c>
      <c r="C244" s="42" t="s">
        <v>1770</v>
      </c>
      <c r="D244" s="42" t="s">
        <v>1865</v>
      </c>
      <c r="E244" s="42" t="s">
        <v>202</v>
      </c>
      <c r="F244" s="42" t="s">
        <v>1957</v>
      </c>
      <c r="G244" s="75" t="s">
        <v>507</v>
      </c>
      <c r="H244" s="42" t="s">
        <v>2298</v>
      </c>
      <c r="I244" s="42" t="s">
        <v>2212</v>
      </c>
      <c r="J244" s="8" t="s">
        <v>2019</v>
      </c>
      <c r="K244" s="8" t="str">
        <f>LEFT(TRIM(J244),7)&amp;TEXT(ROUND(RIGHT(TRIM(J244),LEN(TRIM(J244))-7),0),"00")</f>
        <v>129-21-29</v>
      </c>
      <c r="L244" s="8" t="s">
        <v>2114</v>
      </c>
      <c r="M244" s="8" t="str">
        <f>LEFT(TRIM(L244),6)&amp;TEXT(ROUND(RIGHT(TRIM(L244),LEN(TRIM(L244))-6),0),"00")</f>
        <v>35-59-17</v>
      </c>
      <c r="N244" s="45">
        <v>45658</v>
      </c>
      <c r="O244" s="42"/>
      <c r="P244" s="46">
        <v>-0.123</v>
      </c>
      <c r="Q244" s="47">
        <v>6.8280000000000003</v>
      </c>
      <c r="R244" s="85">
        <v>5</v>
      </c>
      <c r="S244" s="41" t="str">
        <f>IF(COUNTA(#REF!)=1,"유","무")</f>
        <v>유</v>
      </c>
      <c r="T244" s="86">
        <v>25.369</v>
      </c>
      <c r="U244" s="86">
        <v>2.1360000000000001</v>
      </c>
      <c r="V244" s="42"/>
    </row>
    <row r="245" spans="1:22" ht="27" customHeight="1" x14ac:dyDescent="0.15">
      <c r="A245" s="145">
        <v>239</v>
      </c>
      <c r="B245" s="42">
        <v>2101680</v>
      </c>
      <c r="C245" s="42" t="s">
        <v>473</v>
      </c>
      <c r="D245" s="42" t="s">
        <v>1646</v>
      </c>
      <c r="E245" s="42" t="s">
        <v>202</v>
      </c>
      <c r="F245" s="42" t="s">
        <v>202</v>
      </c>
      <c r="G245" s="75" t="s">
        <v>37</v>
      </c>
      <c r="H245" s="42" t="s">
        <v>40</v>
      </c>
      <c r="I245" s="42" t="s">
        <v>321</v>
      </c>
      <c r="J245" s="43" t="s">
        <v>661</v>
      </c>
      <c r="K245" s="8" t="str">
        <f t="shared" si="8"/>
        <v>129-17-46</v>
      </c>
      <c r="L245" s="44" t="s">
        <v>814</v>
      </c>
      <c r="M245" s="8" t="str">
        <f t="shared" si="7"/>
        <v>35-59-39</v>
      </c>
      <c r="N245" s="45">
        <v>10502</v>
      </c>
      <c r="O245" s="42" t="s">
        <v>38</v>
      </c>
      <c r="P245" s="46">
        <v>-6.96</v>
      </c>
      <c r="Q245" s="46">
        <v>13.949</v>
      </c>
      <c r="R245" s="85">
        <v>9</v>
      </c>
      <c r="S245" s="41" t="str">
        <f>IF(COUNTA(#REF!)=1,"유","무")</f>
        <v>유</v>
      </c>
      <c r="T245" s="86">
        <v>1049.97</v>
      </c>
      <c r="U245" s="86">
        <v>9.83</v>
      </c>
      <c r="V245" s="42" t="s">
        <v>39</v>
      </c>
    </row>
    <row r="246" spans="1:22" s="24" customFormat="1" ht="27" customHeight="1" x14ac:dyDescent="0.15">
      <c r="A246" s="145">
        <v>240</v>
      </c>
      <c r="B246" s="42">
        <v>2101690</v>
      </c>
      <c r="C246" s="42" t="s">
        <v>474</v>
      </c>
      <c r="D246" s="42" t="s">
        <v>1647</v>
      </c>
      <c r="E246" s="42" t="s">
        <v>202</v>
      </c>
      <c r="F246" s="42" t="s">
        <v>202</v>
      </c>
      <c r="G246" s="75" t="s">
        <v>37</v>
      </c>
      <c r="H246" s="42" t="s">
        <v>98</v>
      </c>
      <c r="I246" s="42" t="s">
        <v>322</v>
      </c>
      <c r="J246" s="43" t="s">
        <v>662</v>
      </c>
      <c r="K246" s="8" t="str">
        <f t="shared" si="8"/>
        <v>129-22-19</v>
      </c>
      <c r="L246" s="44" t="s">
        <v>815</v>
      </c>
      <c r="M246" s="8" t="str">
        <f t="shared" si="7"/>
        <v>36-00-42</v>
      </c>
      <c r="N246" s="45">
        <v>10228</v>
      </c>
      <c r="O246" s="42" t="s">
        <v>41</v>
      </c>
      <c r="P246" s="46">
        <v>-1.0940000000000001</v>
      </c>
      <c r="Q246" s="46">
        <v>6.09</v>
      </c>
      <c r="R246" s="85">
        <v>7</v>
      </c>
      <c r="S246" s="41" t="str">
        <f>IF(COUNTA(#REF!)=1,"유","무")</f>
        <v>유</v>
      </c>
      <c r="T246" s="86">
        <v>1136.31</v>
      </c>
      <c r="U246" s="86">
        <v>2.2999999999999998</v>
      </c>
      <c r="V246" s="42" t="s">
        <v>39</v>
      </c>
    </row>
    <row r="247" spans="1:22" ht="27" customHeight="1" x14ac:dyDescent="0.15">
      <c r="A247" s="145">
        <v>241</v>
      </c>
      <c r="B247" s="42">
        <v>2201607</v>
      </c>
      <c r="C247" s="42" t="s">
        <v>1807</v>
      </c>
      <c r="D247" s="42" t="s">
        <v>1902</v>
      </c>
      <c r="E247" s="42" t="s">
        <v>214</v>
      </c>
      <c r="F247" s="42" t="s">
        <v>214</v>
      </c>
      <c r="G247" s="75" t="s">
        <v>507</v>
      </c>
      <c r="H247" s="42" t="s">
        <v>2299</v>
      </c>
      <c r="I247" s="42" t="s">
        <v>2249</v>
      </c>
      <c r="J247" s="8" t="s">
        <v>2056</v>
      </c>
      <c r="K247" s="8" t="str">
        <f>LEFT(TRIM(J247),7)&amp;TEXT(ROUND(RIGHT(TRIM(J247),LEN(TRIM(J247))-7),0),"00")</f>
        <v>129-05-57</v>
      </c>
      <c r="L247" s="8" t="s">
        <v>2151</v>
      </c>
      <c r="M247" s="8" t="str">
        <f>LEFT(TRIM(L247),6)&amp;TEXT(ROUND(RIGHT(TRIM(L247),LEN(TRIM(L247))-6),0),"00")</f>
        <v>35-34-37</v>
      </c>
      <c r="N247" s="45">
        <v>45658</v>
      </c>
      <c r="O247" s="42"/>
      <c r="P247" s="46">
        <v>96.718999999999994</v>
      </c>
      <c r="Q247" s="47">
        <v>104.119</v>
      </c>
      <c r="R247" s="85">
        <v>6.5</v>
      </c>
      <c r="S247" s="41" t="str">
        <f>IF(COUNTA(#REF!)=1,"유","무")</f>
        <v>유</v>
      </c>
      <c r="T247" s="86">
        <v>54.872999999999998</v>
      </c>
      <c r="U247" s="86">
        <v>34.594999999999999</v>
      </c>
      <c r="V247" s="42"/>
    </row>
    <row r="248" spans="1:22" ht="27" customHeight="1" x14ac:dyDescent="0.15">
      <c r="A248" s="145">
        <v>242</v>
      </c>
      <c r="B248" s="42">
        <v>2201608</v>
      </c>
      <c r="C248" s="42" t="s">
        <v>1805</v>
      </c>
      <c r="D248" s="42" t="s">
        <v>1900</v>
      </c>
      <c r="E248" s="42" t="s">
        <v>214</v>
      </c>
      <c r="F248" s="42" t="s">
        <v>1983</v>
      </c>
      <c r="G248" s="75" t="s">
        <v>507</v>
      </c>
      <c r="H248" s="42" t="s">
        <v>2299</v>
      </c>
      <c r="I248" s="42" t="s">
        <v>2247</v>
      </c>
      <c r="J248" s="8" t="s">
        <v>2054</v>
      </c>
      <c r="K248" s="8" t="str">
        <f>LEFT(TRIM(J248),7)&amp;TEXT(ROUND(RIGHT(TRIM(J248),LEN(TRIM(J248))-7),0),"00")</f>
        <v>129-09-42</v>
      </c>
      <c r="L248" s="8" t="s">
        <v>2149</v>
      </c>
      <c r="M248" s="8" t="str">
        <f>LEFT(TRIM(L248),6)&amp;TEXT(ROUND(RIGHT(TRIM(L248),LEN(TRIM(L248))-6),0),"00")</f>
        <v>35-37-09</v>
      </c>
      <c r="N248" s="45">
        <v>45658</v>
      </c>
      <c r="O248" s="42"/>
      <c r="P248" s="46">
        <v>78.492999999999995</v>
      </c>
      <c r="Q248" s="47">
        <v>83.78</v>
      </c>
      <c r="R248" s="85">
        <v>4</v>
      </c>
      <c r="S248" s="41" t="str">
        <f>IF(COUNTA(#REF!)=1,"유","무")</f>
        <v>유</v>
      </c>
      <c r="T248" s="86">
        <v>12.303000000000001</v>
      </c>
      <c r="U248" s="86">
        <v>0.61099999999999999</v>
      </c>
      <c r="V248" s="42"/>
    </row>
    <row r="249" spans="1:22" s="26" customFormat="1" ht="27" customHeight="1" x14ac:dyDescent="0.15">
      <c r="A249" s="145">
        <v>243</v>
      </c>
      <c r="B249" s="42">
        <v>2201611</v>
      </c>
      <c r="C249" s="42" t="s">
        <v>475</v>
      </c>
      <c r="D249" s="42" t="s">
        <v>1648</v>
      </c>
      <c r="E249" s="42" t="s">
        <v>214</v>
      </c>
      <c r="F249" s="42" t="s">
        <v>214</v>
      </c>
      <c r="G249" s="75" t="s">
        <v>37</v>
      </c>
      <c r="H249" s="42" t="s">
        <v>82</v>
      </c>
      <c r="I249" s="42" t="s">
        <v>914</v>
      </c>
      <c r="J249" s="43" t="s">
        <v>663</v>
      </c>
      <c r="K249" s="8" t="str">
        <f t="shared" si="8"/>
        <v>129-09-03</v>
      </c>
      <c r="L249" s="44" t="s">
        <v>816</v>
      </c>
      <c r="M249" s="8" t="str">
        <f t="shared" si="7"/>
        <v>35-32-54</v>
      </c>
      <c r="N249" s="45">
        <v>42370</v>
      </c>
      <c r="O249" s="42" t="s">
        <v>38</v>
      </c>
      <c r="P249" s="46">
        <v>43.017000000000003</v>
      </c>
      <c r="Q249" s="46">
        <v>52.048000000000002</v>
      </c>
      <c r="R249" s="85">
        <v>8.9</v>
      </c>
      <c r="S249" s="41" t="str">
        <f>IF(COUNTA(#REF!)=1,"유","무")</f>
        <v>유</v>
      </c>
      <c r="T249" s="86">
        <v>122.07</v>
      </c>
      <c r="U249" s="86">
        <v>28.47</v>
      </c>
      <c r="V249" s="42" t="s">
        <v>39</v>
      </c>
    </row>
    <row r="250" spans="1:22" s="26" customFormat="1" ht="27" customHeight="1" x14ac:dyDescent="0.15">
      <c r="A250" s="145">
        <v>244</v>
      </c>
      <c r="B250" s="42">
        <v>2201630</v>
      </c>
      <c r="C250" s="42" t="s">
        <v>476</v>
      </c>
      <c r="D250" s="42" t="s">
        <v>1649</v>
      </c>
      <c r="E250" s="42" t="s">
        <v>214</v>
      </c>
      <c r="F250" s="42" t="s">
        <v>214</v>
      </c>
      <c r="G250" s="75" t="s">
        <v>37</v>
      </c>
      <c r="H250" s="42" t="s">
        <v>1670</v>
      </c>
      <c r="I250" s="42" t="s">
        <v>1323</v>
      </c>
      <c r="J250" s="43" t="s">
        <v>1324</v>
      </c>
      <c r="K250" s="8" t="str">
        <f t="shared" si="8"/>
        <v>129-12-16</v>
      </c>
      <c r="L250" s="44" t="s">
        <v>1325</v>
      </c>
      <c r="M250" s="8" t="str">
        <f t="shared" si="7"/>
        <v>35-34-21</v>
      </c>
      <c r="N250" s="45">
        <v>22828</v>
      </c>
      <c r="O250" s="42" t="s">
        <v>38</v>
      </c>
      <c r="P250" s="46">
        <v>15.24</v>
      </c>
      <c r="Q250" s="46">
        <v>23.71</v>
      </c>
      <c r="R250" s="85">
        <v>7</v>
      </c>
      <c r="S250" s="41" t="str">
        <f>IF(COUNTA(#REF!)=1,"유","무")</f>
        <v>유</v>
      </c>
      <c r="T250" s="86">
        <v>208.47</v>
      </c>
      <c r="U250" s="86">
        <v>25.59</v>
      </c>
      <c r="V250" s="42" t="s">
        <v>39</v>
      </c>
    </row>
    <row r="251" spans="1:22" ht="27" customHeight="1" x14ac:dyDescent="0.15">
      <c r="A251" s="145">
        <v>245</v>
      </c>
      <c r="B251" s="42">
        <v>2201640</v>
      </c>
      <c r="C251" s="42" t="s">
        <v>477</v>
      </c>
      <c r="D251" s="42" t="s">
        <v>1650</v>
      </c>
      <c r="E251" s="42" t="s">
        <v>214</v>
      </c>
      <c r="F251" s="42" t="s">
        <v>214</v>
      </c>
      <c r="G251" s="75" t="s">
        <v>37</v>
      </c>
      <c r="H251" s="42" t="s">
        <v>50</v>
      </c>
      <c r="I251" s="42" t="s">
        <v>916</v>
      </c>
      <c r="J251" s="43" t="s">
        <v>664</v>
      </c>
      <c r="K251" s="8" t="str">
        <f t="shared" si="8"/>
        <v>129-14-07</v>
      </c>
      <c r="L251" s="44" t="s">
        <v>817</v>
      </c>
      <c r="M251" s="8" t="str">
        <f t="shared" si="7"/>
        <v>35-34-40</v>
      </c>
      <c r="N251" s="45">
        <v>43048</v>
      </c>
      <c r="O251" s="42" t="s">
        <v>38</v>
      </c>
      <c r="P251" s="46">
        <v>3.5430000000000001</v>
      </c>
      <c r="Q251" s="46">
        <v>16.718</v>
      </c>
      <c r="R251" s="85">
        <v>9</v>
      </c>
      <c r="S251" s="41" t="str">
        <f>IF(COUNTA(#REF!)=1,"유","무")</f>
        <v>유</v>
      </c>
      <c r="T251" s="86">
        <v>357.11</v>
      </c>
      <c r="U251" s="86">
        <v>17.173999999999999</v>
      </c>
      <c r="V251" s="42" t="s">
        <v>43</v>
      </c>
    </row>
    <row r="252" spans="1:22" ht="27" customHeight="1" x14ac:dyDescent="0.15">
      <c r="A252" s="145">
        <v>246</v>
      </c>
      <c r="B252" s="42">
        <v>2201653</v>
      </c>
      <c r="C252" s="42" t="s">
        <v>478</v>
      </c>
      <c r="D252" s="42" t="s">
        <v>1651</v>
      </c>
      <c r="E252" s="42" t="s">
        <v>214</v>
      </c>
      <c r="F252" s="42" t="s">
        <v>214</v>
      </c>
      <c r="G252" s="75" t="s">
        <v>37</v>
      </c>
      <c r="H252" s="42" t="s">
        <v>82</v>
      </c>
      <c r="I252" s="42" t="s">
        <v>1219</v>
      </c>
      <c r="J252" s="43" t="s">
        <v>930</v>
      </c>
      <c r="K252" s="8" t="str">
        <f t="shared" si="8"/>
        <v>129-14-48</v>
      </c>
      <c r="L252" s="44" t="s">
        <v>931</v>
      </c>
      <c r="M252" s="8" t="str">
        <f t="shared" si="7"/>
        <v>35-33-43</v>
      </c>
      <c r="N252" s="45">
        <v>39814</v>
      </c>
      <c r="O252" s="42" t="s">
        <v>38</v>
      </c>
      <c r="P252" s="46">
        <v>0.92300000000000004</v>
      </c>
      <c r="Q252" s="46">
        <v>11.307</v>
      </c>
      <c r="R252" s="85">
        <v>9</v>
      </c>
      <c r="S252" s="41" t="str">
        <f>IF(COUNTA(#REF!)=1,"유","무")</f>
        <v>유</v>
      </c>
      <c r="T252" s="86">
        <v>369.86</v>
      </c>
      <c r="U252" s="86">
        <v>14.3</v>
      </c>
      <c r="V252" s="42" t="s">
        <v>926</v>
      </c>
    </row>
    <row r="253" spans="1:22" ht="27" customHeight="1" x14ac:dyDescent="0.15">
      <c r="A253" s="145">
        <v>247</v>
      </c>
      <c r="B253" s="42">
        <v>2201660</v>
      </c>
      <c r="C253" s="42" t="s">
        <v>479</v>
      </c>
      <c r="D253" s="42" t="s">
        <v>1652</v>
      </c>
      <c r="E253" s="42" t="s">
        <v>214</v>
      </c>
      <c r="F253" s="42" t="s">
        <v>214</v>
      </c>
      <c r="G253" s="75" t="s">
        <v>37</v>
      </c>
      <c r="H253" s="42" t="s">
        <v>82</v>
      </c>
      <c r="I253" s="42" t="s">
        <v>323</v>
      </c>
      <c r="J253" s="43" t="s">
        <v>665</v>
      </c>
      <c r="K253" s="8" t="str">
        <f t="shared" si="8"/>
        <v>129-16-31</v>
      </c>
      <c r="L253" s="44" t="s">
        <v>818</v>
      </c>
      <c r="M253" s="8" t="str">
        <f t="shared" si="7"/>
        <v>35-33-14</v>
      </c>
      <c r="N253" s="45">
        <v>22828</v>
      </c>
      <c r="O253" s="42" t="s">
        <v>41</v>
      </c>
      <c r="P253" s="46">
        <v>-0.223</v>
      </c>
      <c r="Q253" s="46">
        <v>9.9149999999999991</v>
      </c>
      <c r="R253" s="85">
        <v>10</v>
      </c>
      <c r="S253" s="41" t="str">
        <f>IF(COUNTA(#REF!)=1,"유","무")</f>
        <v>유</v>
      </c>
      <c r="T253" s="86">
        <v>422.04</v>
      </c>
      <c r="U253" s="86">
        <v>11.58</v>
      </c>
      <c r="V253" s="42" t="s">
        <v>39</v>
      </c>
    </row>
    <row r="254" spans="1:22" ht="27" customHeight="1" x14ac:dyDescent="0.15">
      <c r="A254" s="145">
        <v>248</v>
      </c>
      <c r="B254" s="42">
        <v>2201670</v>
      </c>
      <c r="C254" s="42" t="s">
        <v>480</v>
      </c>
      <c r="D254" s="42" t="s">
        <v>1653</v>
      </c>
      <c r="E254" s="42" t="s">
        <v>214</v>
      </c>
      <c r="F254" s="42" t="s">
        <v>214</v>
      </c>
      <c r="G254" s="75" t="s">
        <v>37</v>
      </c>
      <c r="H254" s="42" t="s">
        <v>98</v>
      </c>
      <c r="I254" s="42" t="s">
        <v>324</v>
      </c>
      <c r="J254" s="43" t="s">
        <v>666</v>
      </c>
      <c r="K254" s="8" t="str">
        <f t="shared" si="8"/>
        <v>129-18-33</v>
      </c>
      <c r="L254" s="44" t="s">
        <v>819</v>
      </c>
      <c r="M254" s="8" t="str">
        <f t="shared" si="7"/>
        <v>35-33-09</v>
      </c>
      <c r="N254" s="45">
        <v>22678</v>
      </c>
      <c r="O254" s="42" t="s">
        <v>41</v>
      </c>
      <c r="P254" s="46">
        <v>-1.0760000000000001</v>
      </c>
      <c r="Q254" s="47">
        <v>9.0809999999999995</v>
      </c>
      <c r="R254" s="85">
        <v>7</v>
      </c>
      <c r="S254" s="41" t="str">
        <f>IF(COUNTA(#REF!)=1,"유","무")</f>
        <v>유</v>
      </c>
      <c r="T254" s="86">
        <v>436.59</v>
      </c>
      <c r="U254" s="86">
        <v>7.6</v>
      </c>
      <c r="V254" s="42" t="s">
        <v>39</v>
      </c>
    </row>
    <row r="255" spans="1:22" ht="27" customHeight="1" x14ac:dyDescent="0.15">
      <c r="A255" s="145">
        <v>249</v>
      </c>
      <c r="B255" s="42">
        <v>2201677</v>
      </c>
      <c r="C255" s="42" t="s">
        <v>1762</v>
      </c>
      <c r="D255" s="42" t="s">
        <v>1857</v>
      </c>
      <c r="E255" s="42" t="s">
        <v>214</v>
      </c>
      <c r="F255" s="42" t="s">
        <v>220</v>
      </c>
      <c r="G255" s="75" t="s">
        <v>507</v>
      </c>
      <c r="H255" s="42" t="s">
        <v>2299</v>
      </c>
      <c r="I255" s="42" t="s">
        <v>2204</v>
      </c>
      <c r="J255" s="8" t="s">
        <v>2011</v>
      </c>
      <c r="K255" s="8" t="str">
        <f>LEFT(TRIM(J255),7)&amp;TEXT(ROUND(RIGHT(TRIM(J255),LEN(TRIM(J255))-7),0),"00")</f>
        <v>129-19-14</v>
      </c>
      <c r="L255" s="8" t="s">
        <v>2106</v>
      </c>
      <c r="M255" s="8" t="str">
        <f>LEFT(TRIM(L255),6)&amp;TEXT(ROUND(RIGHT(TRIM(L255),LEN(TRIM(L255))-6),0),"00")</f>
        <v>35-40-42</v>
      </c>
      <c r="N255" s="45">
        <v>45658</v>
      </c>
      <c r="O255" s="42"/>
      <c r="P255" s="46">
        <v>39.326999999999998</v>
      </c>
      <c r="Q255" s="47">
        <v>47.529000000000003</v>
      </c>
      <c r="R255" s="85">
        <v>7</v>
      </c>
      <c r="S255" s="41" t="str">
        <f>IF(COUNTA(#REF!)=1,"유","무")</f>
        <v>유</v>
      </c>
      <c r="T255" s="86">
        <v>70.584000000000003</v>
      </c>
      <c r="U255" s="86">
        <v>16.058</v>
      </c>
      <c r="V255" s="42"/>
    </row>
    <row r="256" spans="1:22" ht="27" customHeight="1" x14ac:dyDescent="0.15">
      <c r="A256" s="145">
        <v>250</v>
      </c>
      <c r="B256" s="42">
        <v>2201685</v>
      </c>
      <c r="C256" s="42" t="s">
        <v>481</v>
      </c>
      <c r="D256" s="42" t="s">
        <v>1654</v>
      </c>
      <c r="E256" s="42" t="s">
        <v>214</v>
      </c>
      <c r="F256" s="42" t="s">
        <v>220</v>
      </c>
      <c r="G256" s="75" t="s">
        <v>37</v>
      </c>
      <c r="H256" s="42" t="s">
        <v>50</v>
      </c>
      <c r="I256" s="42" t="s">
        <v>918</v>
      </c>
      <c r="J256" s="43" t="s">
        <v>667</v>
      </c>
      <c r="K256" s="8" t="str">
        <f t="shared" si="8"/>
        <v>129-20-48</v>
      </c>
      <c r="L256" s="44" t="s">
        <v>820</v>
      </c>
      <c r="M256" s="8" t="str">
        <f t="shared" si="7"/>
        <v>35-37-47</v>
      </c>
      <c r="N256" s="45">
        <v>43049</v>
      </c>
      <c r="O256" s="42" t="s">
        <v>38</v>
      </c>
      <c r="P256" s="46">
        <v>16.358000000000001</v>
      </c>
      <c r="Q256" s="47">
        <v>26.472000000000001</v>
      </c>
      <c r="R256" s="85">
        <v>8</v>
      </c>
      <c r="S256" s="41" t="str">
        <f>IF(COUNTA(#REF!)=1,"유","무")</f>
        <v>유</v>
      </c>
      <c r="T256" s="86">
        <v>106.71</v>
      </c>
      <c r="U256" s="86">
        <v>9.4290000000000003</v>
      </c>
      <c r="V256" s="42" t="s">
        <v>39</v>
      </c>
    </row>
    <row r="257" spans="1:22" ht="27" customHeight="1" x14ac:dyDescent="0.15">
      <c r="A257" s="145">
        <v>251</v>
      </c>
      <c r="B257" s="42">
        <v>2201690</v>
      </c>
      <c r="C257" s="42" t="s">
        <v>482</v>
      </c>
      <c r="D257" s="42" t="s">
        <v>1655</v>
      </c>
      <c r="E257" s="42" t="s">
        <v>214</v>
      </c>
      <c r="F257" s="42" t="s">
        <v>220</v>
      </c>
      <c r="G257" s="75" t="s">
        <v>37</v>
      </c>
      <c r="H257" s="42" t="s">
        <v>98</v>
      </c>
      <c r="I257" s="42" t="s">
        <v>325</v>
      </c>
      <c r="J257" s="43" t="s">
        <v>668</v>
      </c>
      <c r="K257" s="8" t="str">
        <f t="shared" si="8"/>
        <v>129-21-07</v>
      </c>
      <c r="L257" s="44" t="s">
        <v>821</v>
      </c>
      <c r="M257" s="8" t="str">
        <f t="shared" si="7"/>
        <v>35-34-36</v>
      </c>
      <c r="N257" s="45">
        <v>22828</v>
      </c>
      <c r="O257" s="42" t="s">
        <v>38</v>
      </c>
      <c r="P257" s="46">
        <v>2.4370000000000003</v>
      </c>
      <c r="Q257" s="47">
        <v>8.32</v>
      </c>
      <c r="R257" s="85">
        <v>7</v>
      </c>
      <c r="S257" s="41" t="str">
        <f>IF(COUNTA(#REF!)=1,"유","무")</f>
        <v>유</v>
      </c>
      <c r="T257" s="86">
        <v>162.5</v>
      </c>
      <c r="U257" s="86">
        <v>3.12</v>
      </c>
      <c r="V257" s="42" t="s">
        <v>43</v>
      </c>
    </row>
    <row r="258" spans="1:22" ht="27" customHeight="1" x14ac:dyDescent="0.15">
      <c r="A258" s="145">
        <v>252</v>
      </c>
      <c r="B258" s="42">
        <v>2301625</v>
      </c>
      <c r="C258" s="42" t="s">
        <v>1784</v>
      </c>
      <c r="D258" s="42" t="s">
        <v>1879</v>
      </c>
      <c r="E258" s="42" t="s">
        <v>222</v>
      </c>
      <c r="F258" s="42" t="s">
        <v>1968</v>
      </c>
      <c r="G258" s="75" t="s">
        <v>37</v>
      </c>
      <c r="H258" s="42" t="s">
        <v>2300</v>
      </c>
      <c r="I258" s="42" t="s">
        <v>2226</v>
      </c>
      <c r="J258" s="8" t="s">
        <v>2033</v>
      </c>
      <c r="K258" s="8" t="str">
        <f>LEFT(TRIM(J258),7)&amp;TEXT(ROUND(RIGHT(TRIM(J258),LEN(TRIM(J258))-7),0),"00")</f>
        <v>129-12-20</v>
      </c>
      <c r="L258" s="8" t="s">
        <v>2128</v>
      </c>
      <c r="M258" s="8" t="str">
        <f>LEFT(TRIM(L258),6)&amp;TEXT(ROUND(RIGHT(TRIM(L258),LEN(TRIM(L258))-6),0),"00")</f>
        <v>35-27-27</v>
      </c>
      <c r="N258" s="45">
        <v>45658</v>
      </c>
      <c r="O258" s="42"/>
      <c r="P258" s="46">
        <v>49.418999999999997</v>
      </c>
      <c r="Q258" s="47">
        <v>60.155999999999999</v>
      </c>
      <c r="R258" s="85">
        <v>7.3</v>
      </c>
      <c r="S258" s="41" t="str">
        <f>IF(COUNTA(#REF!)=1,"유","무")</f>
        <v>유</v>
      </c>
      <c r="T258" s="86">
        <v>19.381</v>
      </c>
      <c r="U258" s="86">
        <v>0.63300000000000001</v>
      </c>
      <c r="V258" s="42"/>
    </row>
    <row r="259" spans="1:22" ht="27" customHeight="1" x14ac:dyDescent="0.15">
      <c r="A259" s="145">
        <v>253</v>
      </c>
      <c r="B259" s="42">
        <v>2301630</v>
      </c>
      <c r="C259" s="42" t="s">
        <v>483</v>
      </c>
      <c r="D259" s="42" t="s">
        <v>1656</v>
      </c>
      <c r="E259" s="42" t="s">
        <v>222</v>
      </c>
      <c r="F259" s="42" t="s">
        <v>222</v>
      </c>
      <c r="G259" s="75" t="s">
        <v>37</v>
      </c>
      <c r="H259" s="42" t="s">
        <v>40</v>
      </c>
      <c r="I259" s="42" t="s">
        <v>326</v>
      </c>
      <c r="J259" s="43" t="s">
        <v>669</v>
      </c>
      <c r="K259" s="8" t="str">
        <f t="shared" si="8"/>
        <v>129-14-21</v>
      </c>
      <c r="L259" s="44" t="s">
        <v>822</v>
      </c>
      <c r="M259" s="8" t="str">
        <f t="shared" si="7"/>
        <v>35-28-12</v>
      </c>
      <c r="N259" s="45">
        <v>22828</v>
      </c>
      <c r="O259" s="42" t="s">
        <v>38</v>
      </c>
      <c r="P259" s="46">
        <v>33.722999999999999</v>
      </c>
      <c r="Q259" s="47">
        <v>38.898000000000003</v>
      </c>
      <c r="R259" s="85">
        <v>5</v>
      </c>
      <c r="S259" s="41" t="str">
        <f>IF(COUNTA(#REF!)=1,"유","무")</f>
        <v>유</v>
      </c>
      <c r="T259" s="86">
        <v>112.3</v>
      </c>
      <c r="U259" s="86">
        <v>20.23</v>
      </c>
      <c r="V259" s="42" t="s">
        <v>39</v>
      </c>
    </row>
    <row r="260" spans="1:22" ht="27" customHeight="1" x14ac:dyDescent="0.15">
      <c r="A260" s="145">
        <v>254</v>
      </c>
      <c r="B260" s="42">
        <v>2301645</v>
      </c>
      <c r="C260" s="42" t="s">
        <v>1808</v>
      </c>
      <c r="D260" s="42" t="s">
        <v>1903</v>
      </c>
      <c r="E260" s="42" t="s">
        <v>328</v>
      </c>
      <c r="F260" s="42" t="s">
        <v>1985</v>
      </c>
      <c r="G260" s="75" t="s">
        <v>37</v>
      </c>
      <c r="H260" s="42" t="s">
        <v>2299</v>
      </c>
      <c r="I260" s="42" t="s">
        <v>2250</v>
      </c>
      <c r="J260" s="8" t="s">
        <v>2057</v>
      </c>
      <c r="K260" s="8" t="str">
        <f>LEFT(TRIM(J260),7)&amp;TEXT(ROUND(RIGHT(TRIM(J260),LEN(TRIM(J260))-7),0),"00")</f>
        <v>129-18-32</v>
      </c>
      <c r="L260" s="8" t="s">
        <v>2152</v>
      </c>
      <c r="M260" s="8" t="str">
        <f>LEFT(TRIM(L260),6)&amp;TEXT(ROUND(RIGHT(TRIM(L260),LEN(TRIM(L260))-6),0),"00")</f>
        <v>35-28-47</v>
      </c>
      <c r="N260" s="45">
        <v>45658</v>
      </c>
      <c r="O260" s="42"/>
      <c r="P260" s="46">
        <v>-1.03</v>
      </c>
      <c r="Q260" s="47">
        <v>7.6680000000000001</v>
      </c>
      <c r="R260" s="85">
        <v>6</v>
      </c>
      <c r="S260" s="41" t="str">
        <f>IF(COUNTA(#REF!)=1,"유","무")</f>
        <v>유</v>
      </c>
      <c r="T260" s="86">
        <v>35.664999999999999</v>
      </c>
      <c r="U260" s="86">
        <v>3.3969999999999998</v>
      </c>
      <c r="V260" s="42"/>
    </row>
    <row r="261" spans="1:22" ht="27" customHeight="1" x14ac:dyDescent="0.15">
      <c r="A261" s="145">
        <v>255</v>
      </c>
      <c r="B261" s="42">
        <v>2301650</v>
      </c>
      <c r="C261" s="42" t="s">
        <v>1458</v>
      </c>
      <c r="D261" s="42" t="s">
        <v>1657</v>
      </c>
      <c r="E261" s="42" t="s">
        <v>222</v>
      </c>
      <c r="F261" s="42" t="s">
        <v>222</v>
      </c>
      <c r="G261" s="75" t="s">
        <v>37</v>
      </c>
      <c r="H261" s="42" t="s">
        <v>40</v>
      </c>
      <c r="I261" s="42" t="s">
        <v>1357</v>
      </c>
      <c r="J261" s="43" t="s">
        <v>1360</v>
      </c>
      <c r="K261" s="8" t="str">
        <f t="shared" si="8"/>
        <v>129-17-05</v>
      </c>
      <c r="L261" s="44" t="s">
        <v>1361</v>
      </c>
      <c r="M261" s="8" t="str">
        <f t="shared" si="7"/>
        <v>35-27-48</v>
      </c>
      <c r="N261" s="45">
        <v>22828</v>
      </c>
      <c r="O261" s="42" t="s">
        <v>38</v>
      </c>
      <c r="P261" s="46">
        <v>5.5220000000000002</v>
      </c>
      <c r="Q261" s="47">
        <v>14.122999999999999</v>
      </c>
      <c r="R261" s="85">
        <v>7.9</v>
      </c>
      <c r="S261" s="41" t="str">
        <f>IF(COUNTA(#REF!)=1,"유","무")</f>
        <v>유</v>
      </c>
      <c r="T261" s="86">
        <v>129.81</v>
      </c>
      <c r="U261" s="86">
        <v>11.57</v>
      </c>
      <c r="V261" s="42" t="s">
        <v>39</v>
      </c>
    </row>
    <row r="262" spans="1:22" ht="27" customHeight="1" x14ac:dyDescent="0.15">
      <c r="A262" s="145">
        <v>256</v>
      </c>
      <c r="B262" s="42">
        <v>2301670</v>
      </c>
      <c r="C262" s="42" t="s">
        <v>485</v>
      </c>
      <c r="D262" s="42" t="s">
        <v>1658</v>
      </c>
      <c r="E262" s="42" t="s">
        <v>222</v>
      </c>
      <c r="F262" s="42" t="s">
        <v>222</v>
      </c>
      <c r="G262" s="75" t="s">
        <v>37</v>
      </c>
      <c r="H262" s="42" t="s">
        <v>50</v>
      </c>
      <c r="I262" s="42" t="s">
        <v>919</v>
      </c>
      <c r="J262" s="43" t="s">
        <v>1362</v>
      </c>
      <c r="K262" s="8" t="str">
        <f t="shared" si="8"/>
        <v>129-18-15</v>
      </c>
      <c r="L262" s="44" t="s">
        <v>1363</v>
      </c>
      <c r="M262" s="8" t="str">
        <f t="shared" si="7"/>
        <v>35-26-03</v>
      </c>
      <c r="N262" s="45">
        <v>42370</v>
      </c>
      <c r="O262" s="42" t="s">
        <v>38</v>
      </c>
      <c r="P262" s="46">
        <v>-1.456</v>
      </c>
      <c r="Q262" s="47">
        <v>10.79</v>
      </c>
      <c r="R262" s="85">
        <v>8</v>
      </c>
      <c r="S262" s="41" t="str">
        <f>IF(COUNTA(#REF!)=1,"유","무")</f>
        <v>유</v>
      </c>
      <c r="T262" s="86">
        <v>137.18</v>
      </c>
      <c r="U262" s="86">
        <v>7.76</v>
      </c>
      <c r="V262" s="42" t="s">
        <v>39</v>
      </c>
    </row>
    <row r="263" spans="1:22" ht="27" customHeight="1" x14ac:dyDescent="0.15">
      <c r="A263" s="145">
        <v>257</v>
      </c>
      <c r="B263" s="42">
        <v>2301680</v>
      </c>
      <c r="C263" s="42" t="s">
        <v>1774</v>
      </c>
      <c r="D263" s="42" t="s">
        <v>1869</v>
      </c>
      <c r="E263" s="42" t="s">
        <v>222</v>
      </c>
      <c r="F263" s="42" t="s">
        <v>1960</v>
      </c>
      <c r="G263" s="75" t="s">
        <v>37</v>
      </c>
      <c r="H263" s="42" t="s">
        <v>2298</v>
      </c>
      <c r="I263" s="42" t="s">
        <v>2216</v>
      </c>
      <c r="J263" s="8" t="s">
        <v>2023</v>
      </c>
      <c r="K263" s="8" t="str">
        <f>LEFT(TRIM(J263),7)&amp;TEXT(ROUND(RIGHT(TRIM(J263),LEN(TRIM(J263))-7),0),"00")</f>
        <v>129-17-03</v>
      </c>
      <c r="L263" s="8" t="s">
        <v>2118</v>
      </c>
      <c r="M263" s="8" t="str">
        <f>LEFT(TRIM(L263),6)&amp;TEXT(ROUND(RIGHT(TRIM(L263),LEN(TRIM(L263))-6),0),"00")</f>
        <v>35-24-54</v>
      </c>
      <c r="N263" s="45">
        <v>45658</v>
      </c>
      <c r="O263" s="42"/>
      <c r="P263" s="46">
        <v>1.044</v>
      </c>
      <c r="Q263" s="47">
        <v>7.7949999999999999</v>
      </c>
      <c r="R263" s="85">
        <v>7</v>
      </c>
      <c r="S263" s="41" t="str">
        <f>IF(COUNTA(#REF!)=1,"유","무")</f>
        <v>유</v>
      </c>
      <c r="T263" s="86">
        <v>40.639000000000003</v>
      </c>
      <c r="U263" s="86">
        <v>2.6309999999999998</v>
      </c>
      <c r="V263" s="42"/>
    </row>
    <row r="264" spans="1:22" s="23" customFormat="1" ht="27" customHeight="1" x14ac:dyDescent="0.15">
      <c r="A264" s="145">
        <v>258</v>
      </c>
      <c r="B264" s="42">
        <v>2302635</v>
      </c>
      <c r="C264" s="42" t="s">
        <v>1700</v>
      </c>
      <c r="D264" s="42" t="s">
        <v>2310</v>
      </c>
      <c r="E264" s="42" t="s">
        <v>328</v>
      </c>
      <c r="F264" s="42" t="s">
        <v>921</v>
      </c>
      <c r="G264" s="75" t="s">
        <v>507</v>
      </c>
      <c r="H264" s="42" t="s">
        <v>50</v>
      </c>
      <c r="I264" s="42" t="s">
        <v>1734</v>
      </c>
      <c r="J264" s="8" t="s">
        <v>1735</v>
      </c>
      <c r="K264" s="8" t="s">
        <v>1701</v>
      </c>
      <c r="L264" s="8" t="s">
        <v>1702</v>
      </c>
      <c r="M264" s="8" t="s">
        <v>1703</v>
      </c>
      <c r="N264" s="45">
        <v>45306</v>
      </c>
      <c r="O264" s="42" t="s">
        <v>38</v>
      </c>
      <c r="P264" s="46">
        <v>0</v>
      </c>
      <c r="Q264" s="47">
        <v>40.911999999999999</v>
      </c>
      <c r="R264" s="85">
        <v>41</v>
      </c>
      <c r="S264" s="41" t="str">
        <f>IF(COUNTA(#REF!)=1,"유","무")</f>
        <v>유</v>
      </c>
      <c r="T264" s="86">
        <v>99.537999999999997</v>
      </c>
      <c r="U264" s="86">
        <v>9.4209999999999994</v>
      </c>
      <c r="V264" s="42" t="s">
        <v>1299</v>
      </c>
    </row>
    <row r="265" spans="1:22" s="23" customFormat="1" ht="27" customHeight="1" x14ac:dyDescent="0.15">
      <c r="A265" s="145">
        <v>259</v>
      </c>
      <c r="B265" s="42">
        <v>2302640</v>
      </c>
      <c r="C265" s="42" t="s">
        <v>1326</v>
      </c>
      <c r="D265" s="42" t="s">
        <v>1659</v>
      </c>
      <c r="E265" s="42" t="s">
        <v>328</v>
      </c>
      <c r="F265" s="42" t="s">
        <v>921</v>
      </c>
      <c r="G265" s="75" t="s">
        <v>507</v>
      </c>
      <c r="H265" s="42" t="s">
        <v>1318</v>
      </c>
      <c r="I265" s="42" t="s">
        <v>1345</v>
      </c>
      <c r="J265" s="8" t="s">
        <v>1476</v>
      </c>
      <c r="K265" s="8" t="str">
        <f t="shared" si="8"/>
        <v>129-07-06</v>
      </c>
      <c r="L265" s="8" t="s">
        <v>1327</v>
      </c>
      <c r="M265" s="8" t="str">
        <f t="shared" si="7"/>
        <v>35-13-03</v>
      </c>
      <c r="N265" s="45">
        <v>44622</v>
      </c>
      <c r="O265" s="42" t="s">
        <v>41</v>
      </c>
      <c r="P265" s="46">
        <v>-1.3979999999999999</v>
      </c>
      <c r="Q265" s="47">
        <v>9.59</v>
      </c>
      <c r="R265" s="85">
        <v>8</v>
      </c>
      <c r="S265" s="41" t="str">
        <f>IF(COUNTA(#REF!)=1,"유","무")</f>
        <v>유</v>
      </c>
      <c r="T265" s="86">
        <v>104.166</v>
      </c>
      <c r="U265" s="86">
        <v>6.69</v>
      </c>
      <c r="V265" s="42" t="s">
        <v>1460</v>
      </c>
    </row>
    <row r="266" spans="1:22" s="23" customFormat="1" ht="27" customHeight="1" x14ac:dyDescent="0.15">
      <c r="A266" s="145">
        <v>260</v>
      </c>
      <c r="B266" s="42">
        <v>2302650</v>
      </c>
      <c r="C266" s="42" t="s">
        <v>486</v>
      </c>
      <c r="D266" s="42" t="s">
        <v>1660</v>
      </c>
      <c r="E266" s="42" t="s">
        <v>328</v>
      </c>
      <c r="F266" s="42" t="s">
        <v>921</v>
      </c>
      <c r="G266" s="75" t="s">
        <v>507</v>
      </c>
      <c r="H266" s="42" t="s">
        <v>50</v>
      </c>
      <c r="I266" s="41" t="s">
        <v>922</v>
      </c>
      <c r="J266" s="8" t="s">
        <v>670</v>
      </c>
      <c r="K266" s="8" t="str">
        <f t="shared" si="8"/>
        <v>129-06-51</v>
      </c>
      <c r="L266" s="8" t="s">
        <v>823</v>
      </c>
      <c r="M266" s="8" t="str">
        <f t="shared" si="7"/>
        <v>35-11-38</v>
      </c>
      <c r="N266" s="45">
        <v>42736</v>
      </c>
      <c r="O266" s="41" t="s">
        <v>41</v>
      </c>
      <c r="P266" s="48">
        <v>-2.4060000000000001</v>
      </c>
      <c r="Q266" s="49">
        <v>6.5609999999999999</v>
      </c>
      <c r="R266" s="50">
        <v>6</v>
      </c>
      <c r="S266" s="41" t="str">
        <f>IF(COUNTA(#REF!)=1,"유","무")</f>
        <v>유</v>
      </c>
      <c r="T266" s="51">
        <v>133.38</v>
      </c>
      <c r="U266" s="51">
        <v>3.73</v>
      </c>
      <c r="V266" s="41" t="s">
        <v>43</v>
      </c>
    </row>
    <row r="267" spans="1:22" ht="27" customHeight="1" x14ac:dyDescent="0.15">
      <c r="A267" s="145">
        <v>261</v>
      </c>
      <c r="B267" s="42">
        <v>2302651</v>
      </c>
      <c r="C267" s="42" t="s">
        <v>1803</v>
      </c>
      <c r="D267" s="42" t="s">
        <v>1898</v>
      </c>
      <c r="E267" s="42" t="s">
        <v>328</v>
      </c>
      <c r="F267" s="42" t="s">
        <v>1981</v>
      </c>
      <c r="G267" s="75" t="s">
        <v>507</v>
      </c>
      <c r="H267" s="42" t="s">
        <v>2299</v>
      </c>
      <c r="I267" s="42" t="s">
        <v>2245</v>
      </c>
      <c r="J267" s="8" t="s">
        <v>2052</v>
      </c>
      <c r="K267" s="8" t="str">
        <f>LEFT(TRIM(J267),7)&amp;TEXT(ROUND(RIGHT(TRIM(J267),LEN(TRIM(J267))-7),0),"00")</f>
        <v>129-11-51</v>
      </c>
      <c r="L267" s="8" t="s">
        <v>2147</v>
      </c>
      <c r="M267" s="8" t="str">
        <f>LEFT(TRIM(L267),6)&amp;TEXT(ROUND(RIGHT(TRIM(L267),LEN(TRIM(L267))-6),0),"00")</f>
        <v>35-19-10</v>
      </c>
      <c r="N267" s="45">
        <v>45658</v>
      </c>
      <c r="O267" s="42"/>
      <c r="P267" s="46">
        <v>35.701000000000001</v>
      </c>
      <c r="Q267" s="47">
        <v>42.601999999999997</v>
      </c>
      <c r="R267" s="85">
        <v>7</v>
      </c>
      <c r="S267" s="41" t="str">
        <f>IF(COUNTA(#REF!)=1,"유","무")</f>
        <v>유</v>
      </c>
      <c r="T267" s="86">
        <v>22.457000000000001</v>
      </c>
      <c r="U267" s="86">
        <v>8.0229999999999997</v>
      </c>
      <c r="V267" s="42"/>
    </row>
    <row r="268" spans="1:22" s="23" customFormat="1" ht="27" customHeight="1" x14ac:dyDescent="0.15">
      <c r="A268" s="145">
        <v>262</v>
      </c>
      <c r="B268" s="42">
        <v>2302655</v>
      </c>
      <c r="C268" s="42" t="s">
        <v>1328</v>
      </c>
      <c r="D268" s="42" t="s">
        <v>1661</v>
      </c>
      <c r="E268" s="42" t="s">
        <v>328</v>
      </c>
      <c r="F268" s="42" t="s">
        <v>1329</v>
      </c>
      <c r="G268" s="75" t="s">
        <v>507</v>
      </c>
      <c r="H268" s="42" t="s">
        <v>1318</v>
      </c>
      <c r="I268" s="41" t="s">
        <v>1348</v>
      </c>
      <c r="J268" s="8" t="s">
        <v>1330</v>
      </c>
      <c r="K268" s="8" t="str">
        <f t="shared" si="8"/>
        <v>129-04-58</v>
      </c>
      <c r="L268" s="8" t="s">
        <v>1331</v>
      </c>
      <c r="M268" s="8" t="str">
        <f t="shared" si="7"/>
        <v>35-11-48</v>
      </c>
      <c r="N268" s="45">
        <v>44622</v>
      </c>
      <c r="O268" s="41" t="s">
        <v>38</v>
      </c>
      <c r="P268" s="48">
        <v>-1.34</v>
      </c>
      <c r="Q268" s="49">
        <v>8.1720000000000006</v>
      </c>
      <c r="R268" s="50">
        <v>6</v>
      </c>
      <c r="S268" s="41" t="str">
        <f>IF(COUNTA(#REF!)=1,"유","무")</f>
        <v>유</v>
      </c>
      <c r="T268" s="51">
        <v>39.53</v>
      </c>
      <c r="U268" s="51">
        <v>3.48</v>
      </c>
      <c r="V268" s="41" t="s">
        <v>1460</v>
      </c>
    </row>
    <row r="269" spans="1:22" s="23" customFormat="1" ht="27" customHeight="1" x14ac:dyDescent="0.15">
      <c r="A269" s="145">
        <v>263</v>
      </c>
      <c r="B269" s="42">
        <v>2302661</v>
      </c>
      <c r="C269" s="42" t="s">
        <v>1683</v>
      </c>
      <c r="D269" s="42" t="s">
        <v>1684</v>
      </c>
      <c r="E269" s="42" t="s">
        <v>328</v>
      </c>
      <c r="F269" s="42" t="s">
        <v>921</v>
      </c>
      <c r="G269" s="75" t="s">
        <v>507</v>
      </c>
      <c r="H269" s="42" t="s">
        <v>50</v>
      </c>
      <c r="I269" s="42" t="s">
        <v>1728</v>
      </c>
      <c r="J269" s="8" t="s">
        <v>1729</v>
      </c>
      <c r="K269" s="8" t="s">
        <v>1685</v>
      </c>
      <c r="L269" s="8" t="s">
        <v>1686</v>
      </c>
      <c r="M269" s="8" t="s">
        <v>1687</v>
      </c>
      <c r="N269" s="45">
        <v>45306</v>
      </c>
      <c r="O269" s="42" t="s">
        <v>41</v>
      </c>
      <c r="P269" s="46">
        <v>-3.415</v>
      </c>
      <c r="Q269" s="47">
        <v>2.891</v>
      </c>
      <c r="R269" s="85">
        <v>6</v>
      </c>
      <c r="S269" s="41" t="str">
        <f>IF(COUNTA(#REF!)=1,"유","무")</f>
        <v>유</v>
      </c>
      <c r="T269" s="86">
        <v>190.482</v>
      </c>
      <c r="U269" s="86">
        <v>1.87</v>
      </c>
      <c r="V269" s="42" t="s">
        <v>1299</v>
      </c>
    </row>
    <row r="270" spans="1:22" ht="27" customHeight="1" x14ac:dyDescent="0.15">
      <c r="A270" s="145">
        <v>264</v>
      </c>
      <c r="B270" s="42">
        <v>2302670</v>
      </c>
      <c r="C270" s="42" t="s">
        <v>1772</v>
      </c>
      <c r="D270" s="42" t="s">
        <v>1867</v>
      </c>
      <c r="E270" s="42" t="s">
        <v>328</v>
      </c>
      <c r="F270" s="42" t="s">
        <v>220</v>
      </c>
      <c r="G270" s="75" t="s">
        <v>507</v>
      </c>
      <c r="H270" s="42" t="s">
        <v>2300</v>
      </c>
      <c r="I270" s="42" t="s">
        <v>2214</v>
      </c>
      <c r="J270" s="8" t="s">
        <v>2021</v>
      </c>
      <c r="K270" s="8" t="str">
        <f>LEFT(TRIM(J270),7)&amp;TEXT(ROUND(RIGHT(TRIM(J270),LEN(TRIM(J270))-7),0),"00")</f>
        <v>129-03-41</v>
      </c>
      <c r="L270" s="8" t="s">
        <v>2116</v>
      </c>
      <c r="M270" s="8" t="str">
        <f>LEFT(TRIM(L270),6)&amp;TEXT(ROUND(RIGHT(TRIM(L270),LEN(TRIM(L270))-6),0),"00")</f>
        <v>35-09-00</v>
      </c>
      <c r="N270" s="45">
        <v>45658</v>
      </c>
      <c r="O270" s="42"/>
      <c r="P270" s="46">
        <v>-1.782</v>
      </c>
      <c r="Q270" s="47">
        <v>3.7639999999999998</v>
      </c>
      <c r="R270" s="85">
        <v>6</v>
      </c>
      <c r="S270" s="41" t="str">
        <f>IF(COUNTA(#REF!)=1,"유","무")</f>
        <v>유</v>
      </c>
      <c r="T270" s="86">
        <v>26.383199999999999</v>
      </c>
      <c r="U270" s="86">
        <v>2.13</v>
      </c>
      <c r="V270" s="42"/>
    </row>
    <row r="271" spans="1:22" s="23" customFormat="1" ht="27" customHeight="1" x14ac:dyDescent="0.15">
      <c r="A271" s="145">
        <v>265</v>
      </c>
      <c r="B271" s="42">
        <v>2302690</v>
      </c>
      <c r="C271" s="42" t="s">
        <v>1335</v>
      </c>
      <c r="D271" s="42" t="s">
        <v>1662</v>
      </c>
      <c r="E271" s="42" t="s">
        <v>328</v>
      </c>
      <c r="F271" s="42" t="s">
        <v>46</v>
      </c>
      <c r="G271" s="75" t="s">
        <v>37</v>
      </c>
      <c r="H271" s="42" t="s">
        <v>50</v>
      </c>
      <c r="I271" s="41" t="s">
        <v>1350</v>
      </c>
      <c r="J271" s="8" t="s">
        <v>1336</v>
      </c>
      <c r="K271" s="8" t="str">
        <f t="shared" si="8"/>
        <v>128-57-20</v>
      </c>
      <c r="L271" s="8" t="s">
        <v>1478</v>
      </c>
      <c r="M271" s="8" t="str">
        <f t="shared" si="7"/>
        <v>35-03-42</v>
      </c>
      <c r="N271" s="45">
        <v>44671</v>
      </c>
      <c r="O271" s="41" t="s">
        <v>41</v>
      </c>
      <c r="P271" s="48">
        <v>-1.4259999999999999</v>
      </c>
      <c r="Q271" s="49">
        <v>4.3109999999999999</v>
      </c>
      <c r="R271" s="50">
        <v>4</v>
      </c>
      <c r="S271" s="41" t="str">
        <f>IF(COUNTA(#REF!)=1,"유","무")</f>
        <v>유</v>
      </c>
      <c r="T271" s="51" t="s">
        <v>52</v>
      </c>
      <c r="U271" s="51" t="s">
        <v>52</v>
      </c>
      <c r="V271" s="41" t="s">
        <v>1460</v>
      </c>
    </row>
    <row r="272" spans="1:22" s="23" customFormat="1" ht="27" customHeight="1" x14ac:dyDescent="0.15">
      <c r="A272" s="145">
        <v>266</v>
      </c>
      <c r="B272" s="42">
        <v>2401613</v>
      </c>
      <c r="C272" s="42" t="s">
        <v>1351</v>
      </c>
      <c r="D272" s="42" t="s">
        <v>1663</v>
      </c>
      <c r="E272" s="42" t="s">
        <v>328</v>
      </c>
      <c r="F272" s="42" t="s">
        <v>1352</v>
      </c>
      <c r="G272" s="75" t="s">
        <v>507</v>
      </c>
      <c r="H272" s="42" t="s">
        <v>87</v>
      </c>
      <c r="I272" s="41" t="s">
        <v>1353</v>
      </c>
      <c r="J272" s="8" t="s">
        <v>1354</v>
      </c>
      <c r="K272" s="8" t="str">
        <f t="shared" si="8"/>
        <v>129-19-31</v>
      </c>
      <c r="L272" s="8" t="s">
        <v>1355</v>
      </c>
      <c r="M272" s="8" t="str">
        <f t="shared" si="7"/>
        <v>37-01-51</v>
      </c>
      <c r="N272" s="45">
        <v>44769</v>
      </c>
      <c r="O272" s="41" t="s">
        <v>1356</v>
      </c>
      <c r="P272" s="48">
        <v>49.837000000000003</v>
      </c>
      <c r="Q272" s="49">
        <v>55.311</v>
      </c>
      <c r="R272" s="50">
        <v>8</v>
      </c>
      <c r="S272" s="41" t="str">
        <f>IF(COUNTA(#REF!)=1,"유","무")</f>
        <v>유</v>
      </c>
      <c r="T272" s="51">
        <v>104.166</v>
      </c>
      <c r="U272" s="51">
        <v>6.69</v>
      </c>
      <c r="V272" s="41" t="s">
        <v>1460</v>
      </c>
    </row>
    <row r="273" spans="1:22" s="23" customFormat="1" ht="27" customHeight="1" x14ac:dyDescent="0.15">
      <c r="A273" s="145">
        <v>267</v>
      </c>
      <c r="B273" s="42">
        <v>2401616</v>
      </c>
      <c r="C273" s="42" t="s">
        <v>1339</v>
      </c>
      <c r="D273" s="42" t="s">
        <v>1664</v>
      </c>
      <c r="E273" s="42" t="s">
        <v>328</v>
      </c>
      <c r="F273" s="42" t="s">
        <v>863</v>
      </c>
      <c r="G273" s="75" t="s">
        <v>507</v>
      </c>
      <c r="H273" s="42" t="s">
        <v>50</v>
      </c>
      <c r="I273" s="41" t="s">
        <v>1349</v>
      </c>
      <c r="J273" s="8" t="s">
        <v>1340</v>
      </c>
      <c r="K273" s="8" t="str">
        <f t="shared" si="8"/>
        <v>129-24-05</v>
      </c>
      <c r="L273" s="8" t="s">
        <v>1341</v>
      </c>
      <c r="M273" s="8" t="str">
        <f t="shared" si="7"/>
        <v>36-59-20</v>
      </c>
      <c r="N273" s="45">
        <v>44622</v>
      </c>
      <c r="O273" s="41" t="s">
        <v>38</v>
      </c>
      <c r="P273" s="48">
        <v>2.3919999999999999</v>
      </c>
      <c r="Q273" s="49">
        <v>8.9659999999999993</v>
      </c>
      <c r="R273" s="50">
        <v>8</v>
      </c>
      <c r="S273" s="41" t="str">
        <f>IF(COUNTA(#REF!)=1,"유","무")</f>
        <v>유</v>
      </c>
      <c r="T273" s="51">
        <v>107.84099999999999</v>
      </c>
      <c r="U273" s="51">
        <v>1.95</v>
      </c>
      <c r="V273" s="41" t="s">
        <v>1460</v>
      </c>
    </row>
    <row r="274" spans="1:22" s="23" customFormat="1" ht="27" customHeight="1" x14ac:dyDescent="0.15">
      <c r="A274" s="145">
        <v>268</v>
      </c>
      <c r="B274" s="42">
        <v>2401633</v>
      </c>
      <c r="C274" s="42" t="s">
        <v>1721</v>
      </c>
      <c r="D274" s="42" t="s">
        <v>1678</v>
      </c>
      <c r="E274" s="42" t="s">
        <v>328</v>
      </c>
      <c r="F274" s="42" t="s">
        <v>1679</v>
      </c>
      <c r="G274" s="75" t="s">
        <v>507</v>
      </c>
      <c r="H274" s="42" t="s">
        <v>1318</v>
      </c>
      <c r="I274" s="42" t="s">
        <v>1726</v>
      </c>
      <c r="J274" s="8" t="s">
        <v>1727</v>
      </c>
      <c r="K274" s="8" t="s">
        <v>1680</v>
      </c>
      <c r="L274" s="8" t="s">
        <v>1681</v>
      </c>
      <c r="M274" s="8" t="s">
        <v>1682</v>
      </c>
      <c r="N274" s="45">
        <v>45306</v>
      </c>
      <c r="O274" s="42" t="s">
        <v>38</v>
      </c>
      <c r="P274" s="46">
        <v>291.59699999999998</v>
      </c>
      <c r="Q274" s="47">
        <v>300.35599999999999</v>
      </c>
      <c r="R274" s="85">
        <v>9</v>
      </c>
      <c r="S274" s="41" t="str">
        <f>IF(COUNTA(#REF!)=1,"유","무")</f>
        <v>유</v>
      </c>
      <c r="T274" s="86">
        <v>123.554</v>
      </c>
      <c r="U274" s="86">
        <v>43.868000000000002</v>
      </c>
      <c r="V274" s="42" t="s">
        <v>1299</v>
      </c>
    </row>
    <row r="275" spans="1:22" ht="27" customHeight="1" x14ac:dyDescent="0.15">
      <c r="A275" s="145">
        <v>269</v>
      </c>
      <c r="B275" s="42">
        <v>2401640</v>
      </c>
      <c r="C275" s="42" t="s">
        <v>1811</v>
      </c>
      <c r="D275" s="42" t="s">
        <v>1906</v>
      </c>
      <c r="E275" s="42" t="s">
        <v>328</v>
      </c>
      <c r="F275" s="42" t="s">
        <v>1987</v>
      </c>
      <c r="G275" s="75" t="s">
        <v>507</v>
      </c>
      <c r="H275" s="42" t="s">
        <v>2299</v>
      </c>
      <c r="I275" s="42" t="s">
        <v>2252</v>
      </c>
      <c r="J275" s="8" t="s">
        <v>2059</v>
      </c>
      <c r="K275" s="8" t="str">
        <f>LEFT(TRIM(J275),7)&amp;TEXT(ROUND(RIGHT(TRIM(J275),LEN(TRIM(J275))-7),0),"00")</f>
        <v>129-22-07</v>
      </c>
      <c r="L275" s="8" t="s">
        <v>2154</v>
      </c>
      <c r="M275" s="8" t="str">
        <f>LEFT(TRIM(L275),6)&amp;TEXT(ROUND(RIGHT(TRIM(L275),LEN(TRIM(L275))-6),0),"00")</f>
        <v>36-58-23</v>
      </c>
      <c r="N275" s="45">
        <v>45658</v>
      </c>
      <c r="O275" s="42"/>
      <c r="P275" s="46">
        <v>6.4180000000000001</v>
      </c>
      <c r="Q275" s="47">
        <v>16.344999999999999</v>
      </c>
      <c r="R275" s="85">
        <v>7</v>
      </c>
      <c r="S275" s="41" t="str">
        <f>IF(COUNTA(#REF!)=1,"유","무")</f>
        <v>유</v>
      </c>
      <c r="T275" s="86">
        <v>174.15199999999999</v>
      </c>
      <c r="U275" s="86">
        <v>1.6379999999999999</v>
      </c>
      <c r="V275" s="42"/>
    </row>
    <row r="276" spans="1:22" ht="27" customHeight="1" x14ac:dyDescent="0.15">
      <c r="A276" s="145">
        <v>270</v>
      </c>
      <c r="B276" s="42">
        <v>2401641</v>
      </c>
      <c r="C276" s="42" t="s">
        <v>1812</v>
      </c>
      <c r="D276" s="42" t="s">
        <v>1907</v>
      </c>
      <c r="E276" s="42" t="s">
        <v>328</v>
      </c>
      <c r="F276" s="42" t="s">
        <v>1988</v>
      </c>
      <c r="G276" s="75" t="s">
        <v>507</v>
      </c>
      <c r="H276" s="42" t="s">
        <v>2300</v>
      </c>
      <c r="I276" s="42" t="s">
        <v>2253</v>
      </c>
      <c r="J276" s="8" t="s">
        <v>2060</v>
      </c>
      <c r="K276" s="8" t="str">
        <f>LEFT(TRIM(J276),7)&amp;TEXT(ROUND(RIGHT(TRIM(J276),LEN(TRIM(J276))-7),0),"00")</f>
        <v>129-26-57</v>
      </c>
      <c r="L276" s="8" t="s">
        <v>2155</v>
      </c>
      <c r="M276" s="8" t="str">
        <f>LEFT(TRIM(L276),6)&amp;TEXT(ROUND(RIGHT(TRIM(L276),LEN(TRIM(L276))-6),0),"00")</f>
        <v>36-47-29</v>
      </c>
      <c r="N276" s="45">
        <v>45658</v>
      </c>
      <c r="O276" s="42"/>
      <c r="P276" s="46">
        <v>1.7689999999999999</v>
      </c>
      <c r="Q276" s="47">
        <v>9.9990000000000006</v>
      </c>
      <c r="R276" s="85">
        <v>5</v>
      </c>
      <c r="S276" s="41" t="str">
        <f>IF(COUNTA(#REF!)=1,"유","무")</f>
        <v>유</v>
      </c>
      <c r="T276" s="86">
        <v>60.334000000000003</v>
      </c>
      <c r="U276" s="86">
        <v>1.4790000000000001</v>
      </c>
      <c r="V276" s="42"/>
    </row>
    <row r="277" spans="1:22" s="23" customFormat="1" ht="27" customHeight="1" x14ac:dyDescent="0.15">
      <c r="A277" s="145">
        <v>271</v>
      </c>
      <c r="B277" s="42">
        <v>2401650</v>
      </c>
      <c r="C277" s="42" t="s">
        <v>487</v>
      </c>
      <c r="D277" s="42" t="s">
        <v>1665</v>
      </c>
      <c r="E277" s="42" t="s">
        <v>328</v>
      </c>
      <c r="F277" s="42" t="s">
        <v>329</v>
      </c>
      <c r="G277" s="75" t="s">
        <v>507</v>
      </c>
      <c r="H277" s="42" t="s">
        <v>928</v>
      </c>
      <c r="I277" s="41" t="s">
        <v>924</v>
      </c>
      <c r="J277" s="8" t="s">
        <v>671</v>
      </c>
      <c r="K277" s="8" t="str">
        <f t="shared" si="8"/>
        <v>129-23-53</v>
      </c>
      <c r="L277" s="8" t="s">
        <v>824</v>
      </c>
      <c r="M277" s="8" t="str">
        <f t="shared" si="7"/>
        <v>36-57-57</v>
      </c>
      <c r="N277" s="45">
        <v>42736</v>
      </c>
      <c r="O277" s="41" t="s">
        <v>38</v>
      </c>
      <c r="P277" s="48">
        <v>-1.9750000000000001</v>
      </c>
      <c r="Q277" s="49">
        <v>8.9640000000000004</v>
      </c>
      <c r="R277" s="50">
        <v>8</v>
      </c>
      <c r="S277" s="41" t="str">
        <f>IF(COUNTA(#REF!)=1,"유","무")</f>
        <v>유</v>
      </c>
      <c r="T277" s="51">
        <v>509.83</v>
      </c>
      <c r="U277" s="51">
        <v>1.47</v>
      </c>
      <c r="V277" s="41" t="s">
        <v>39</v>
      </c>
    </row>
    <row r="278" spans="1:22" ht="27" customHeight="1" x14ac:dyDescent="0.15">
      <c r="A278" s="145">
        <v>272</v>
      </c>
      <c r="B278" s="42">
        <v>2401660</v>
      </c>
      <c r="C278" s="42" t="s">
        <v>1813</v>
      </c>
      <c r="D278" s="42" t="s">
        <v>1908</v>
      </c>
      <c r="E278" s="42" t="s">
        <v>328</v>
      </c>
      <c r="F278" s="42" t="s">
        <v>863</v>
      </c>
      <c r="G278" s="75" t="s">
        <v>507</v>
      </c>
      <c r="H278" s="42" t="s">
        <v>2299</v>
      </c>
      <c r="I278" s="42" t="s">
        <v>2254</v>
      </c>
      <c r="J278" s="8" t="s">
        <v>2061</v>
      </c>
      <c r="K278" s="8" t="str">
        <f>LEFT(TRIM(J278),7)&amp;TEXT(ROUND(RIGHT(TRIM(J278),LEN(TRIM(J278))-7),0),"00")</f>
        <v>129-24-29</v>
      </c>
      <c r="L278" s="8" t="s">
        <v>2156</v>
      </c>
      <c r="M278" s="8" t="str">
        <f>LEFT(TRIM(L278),6)&amp;TEXT(ROUND(RIGHT(TRIM(L278),LEN(TRIM(L278))-6),0),"00")</f>
        <v>36-43-18</v>
      </c>
      <c r="N278" s="45">
        <v>45658</v>
      </c>
      <c r="O278" s="42"/>
      <c r="P278" s="46">
        <v>19.550999999999998</v>
      </c>
      <c r="Q278" s="47">
        <v>26.335999999999999</v>
      </c>
      <c r="R278" s="85">
        <v>6</v>
      </c>
      <c r="S278" s="41" t="str">
        <f>IF(COUNTA(#REF!)=1,"유","무")</f>
        <v>유</v>
      </c>
      <c r="T278" s="86">
        <v>122.02500000000001</v>
      </c>
      <c r="U278" s="86">
        <v>8.6940000000000008</v>
      </c>
      <c r="V278" s="42"/>
    </row>
    <row r="279" spans="1:22" s="23" customFormat="1" ht="27" customHeight="1" x14ac:dyDescent="0.15">
      <c r="A279" s="145">
        <v>273</v>
      </c>
      <c r="B279" s="42">
        <v>2401690</v>
      </c>
      <c r="C279" s="42" t="s">
        <v>488</v>
      </c>
      <c r="D279" s="42" t="s">
        <v>1666</v>
      </c>
      <c r="E279" s="42" t="s">
        <v>328</v>
      </c>
      <c r="F279" s="42" t="s">
        <v>42</v>
      </c>
      <c r="G279" s="75" t="s">
        <v>507</v>
      </c>
      <c r="H279" s="42" t="s">
        <v>50</v>
      </c>
      <c r="I279" s="41" t="s">
        <v>932</v>
      </c>
      <c r="J279" s="8" t="s">
        <v>1238</v>
      </c>
      <c r="K279" s="8" t="str">
        <f t="shared" si="8"/>
        <v>129-22-39</v>
      </c>
      <c r="L279" s="8" t="s">
        <v>1306</v>
      </c>
      <c r="M279" s="8" t="str">
        <f t="shared" si="7"/>
        <v>36-32-53</v>
      </c>
      <c r="N279" s="45">
        <v>42370</v>
      </c>
      <c r="O279" s="41" t="s">
        <v>38</v>
      </c>
      <c r="P279" s="48">
        <v>6.44</v>
      </c>
      <c r="Q279" s="49">
        <v>12.803000000000001</v>
      </c>
      <c r="R279" s="50">
        <v>4</v>
      </c>
      <c r="S279" s="41" t="str">
        <f>IF(COUNTA(#REF!)=1,"유","무")</f>
        <v>유</v>
      </c>
      <c r="T279" s="51">
        <v>151.32</v>
      </c>
      <c r="U279" s="51">
        <v>6.17</v>
      </c>
      <c r="V279" s="41" t="s">
        <v>926</v>
      </c>
    </row>
    <row r="280" spans="1:22" ht="27" customHeight="1" x14ac:dyDescent="0.15">
      <c r="A280" s="145">
        <v>274</v>
      </c>
      <c r="B280" s="42">
        <v>2402609</v>
      </c>
      <c r="C280" s="42" t="s">
        <v>1837</v>
      </c>
      <c r="D280" s="42" t="s">
        <v>1931</v>
      </c>
      <c r="E280" s="42" t="s">
        <v>227</v>
      </c>
      <c r="F280" s="42" t="s">
        <v>227</v>
      </c>
      <c r="G280" s="75" t="s">
        <v>507</v>
      </c>
      <c r="H280" s="42" t="s">
        <v>2303</v>
      </c>
      <c r="I280" s="42" t="s">
        <v>2278</v>
      </c>
      <c r="J280" s="8" t="s">
        <v>2086</v>
      </c>
      <c r="K280" s="8" t="str">
        <f>LEFT(TRIM(J280),7)&amp;TEXT(ROUND(RIGHT(TRIM(J280),LEN(TRIM(J280))-7),0),"00")</f>
        <v>129-17-29</v>
      </c>
      <c r="L280" s="8" t="s">
        <v>2181</v>
      </c>
      <c r="M280" s="8" t="str">
        <f>LEFT(TRIM(L280),6)&amp;TEXT(ROUND(RIGHT(TRIM(L280),LEN(TRIM(L280))-6),0),"00")</f>
        <v>36-26-17</v>
      </c>
      <c r="N280" s="45">
        <v>45658</v>
      </c>
      <c r="O280" s="42"/>
      <c r="P280" s="46">
        <v>50.145000000000003</v>
      </c>
      <c r="Q280" s="47">
        <v>58.134999999999998</v>
      </c>
      <c r="R280" s="85">
        <v>8</v>
      </c>
      <c r="S280" s="41" t="str">
        <f>IF(COUNTA(#REF!)=1,"유","무")</f>
        <v>유</v>
      </c>
      <c r="T280" s="86">
        <v>90.391000000000005</v>
      </c>
      <c r="U280" s="86">
        <v>20.623999999999999</v>
      </c>
      <c r="V280" s="42"/>
    </row>
    <row r="281" spans="1:22" s="23" customFormat="1" ht="27" customHeight="1" x14ac:dyDescent="0.15">
      <c r="A281" s="145">
        <v>275</v>
      </c>
      <c r="B281" s="41">
        <v>2402630</v>
      </c>
      <c r="C281" s="41" t="s">
        <v>489</v>
      </c>
      <c r="D281" s="41" t="s">
        <v>1667</v>
      </c>
      <c r="E281" s="41" t="s">
        <v>227</v>
      </c>
      <c r="F281" s="41" t="s">
        <v>227</v>
      </c>
      <c r="G281" s="75" t="s">
        <v>507</v>
      </c>
      <c r="H281" s="42" t="s">
        <v>82</v>
      </c>
      <c r="I281" s="41" t="s">
        <v>925</v>
      </c>
      <c r="J281" s="13" t="s">
        <v>672</v>
      </c>
      <c r="K281" s="13" t="str">
        <f>LEFT(TRIM(J281),7)&amp;TEXT(ROUND(RIGHT(TRIM(J281),LEN(TRIM(J281))-7),0),"00")</f>
        <v>129-22-24</v>
      </c>
      <c r="L281" s="13" t="s">
        <v>825</v>
      </c>
      <c r="M281" s="13" t="str">
        <f>LEFT(TRIM(L281),6)&amp;TEXT(ROUND(RIGHT(TRIM(L281),LEN(TRIM(L281))-6),0),"00")</f>
        <v>36-24-09</v>
      </c>
      <c r="N281" s="52">
        <v>42370</v>
      </c>
      <c r="O281" s="41" t="s">
        <v>38</v>
      </c>
      <c r="P281" s="48">
        <v>3.66</v>
      </c>
      <c r="Q281" s="49">
        <v>12.260999999999999</v>
      </c>
      <c r="R281" s="50">
        <v>5</v>
      </c>
      <c r="S281" s="41" t="str">
        <f>IF(COUNTA(#REF!)=1,"유","무")</f>
        <v>유</v>
      </c>
      <c r="T281" s="51">
        <v>341.12</v>
      </c>
      <c r="U281" s="51">
        <v>6.48</v>
      </c>
      <c r="V281" s="41" t="s">
        <v>39</v>
      </c>
    </row>
    <row r="282" spans="1:22" s="23" customFormat="1" ht="27" customHeight="1" x14ac:dyDescent="0.15">
      <c r="A282" s="145">
        <v>276</v>
      </c>
      <c r="B282" s="42">
        <v>2402680</v>
      </c>
      <c r="C282" s="42" t="s">
        <v>1688</v>
      </c>
      <c r="D282" s="42" t="s">
        <v>1689</v>
      </c>
      <c r="E282" s="42" t="s">
        <v>328</v>
      </c>
      <c r="F282" s="42" t="s">
        <v>1690</v>
      </c>
      <c r="G282" s="75" t="s">
        <v>507</v>
      </c>
      <c r="H282" s="42" t="s">
        <v>50</v>
      </c>
      <c r="I282" s="42" t="s">
        <v>1730</v>
      </c>
      <c r="J282" s="8" t="s">
        <v>1731</v>
      </c>
      <c r="K282" s="8" t="s">
        <v>1691</v>
      </c>
      <c r="L282" s="8" t="s">
        <v>1692</v>
      </c>
      <c r="M282" s="8" t="s">
        <v>1693</v>
      </c>
      <c r="N282" s="45">
        <v>45306</v>
      </c>
      <c r="O282" s="42" t="s">
        <v>38</v>
      </c>
      <c r="P282" s="46">
        <v>9.4659999999999993</v>
      </c>
      <c r="Q282" s="47">
        <v>15.901999999999999</v>
      </c>
      <c r="R282" s="85">
        <v>4</v>
      </c>
      <c r="S282" s="41" t="str">
        <f>IF(COUNTA(#REF!)=1,"유","무")</f>
        <v>유</v>
      </c>
      <c r="T282" s="86">
        <v>96.165000000000006</v>
      </c>
      <c r="U282" s="86">
        <v>6.6070000000000002</v>
      </c>
      <c r="V282" s="42" t="s">
        <v>1299</v>
      </c>
    </row>
    <row r="283" spans="1:22" ht="27" customHeight="1" x14ac:dyDescent="0.15">
      <c r="A283" s="145">
        <v>277</v>
      </c>
      <c r="B283" s="42">
        <v>2403617</v>
      </c>
      <c r="C283" s="42" t="s">
        <v>1848</v>
      </c>
      <c r="D283" s="42" t="s">
        <v>1942</v>
      </c>
      <c r="E283" s="42" t="s">
        <v>328</v>
      </c>
      <c r="F283" s="42" t="s">
        <v>1753</v>
      </c>
      <c r="G283" s="75" t="s">
        <v>507</v>
      </c>
      <c r="H283" s="42" t="s">
        <v>2299</v>
      </c>
      <c r="I283" s="42" t="s">
        <v>2289</v>
      </c>
      <c r="J283" s="8" t="s">
        <v>2097</v>
      </c>
      <c r="K283" s="8" t="str">
        <f t="shared" ref="K283:K292" si="9">LEFT(TRIM(J283),7)&amp;TEXT(ROUND(RIGHT(TRIM(J283),LEN(TRIM(J283))-7),0),"00")</f>
        <v>129-24-01</v>
      </c>
      <c r="L283" s="8" t="s">
        <v>2192</v>
      </c>
      <c r="M283" s="8" t="str">
        <f t="shared" ref="M283:M292" si="10">LEFT(TRIM(L283),6)&amp;TEXT(ROUND(RIGHT(TRIM(L283),LEN(TRIM(L283))-6),0),"00")</f>
        <v>35-55-43</v>
      </c>
      <c r="N283" s="45">
        <v>45658</v>
      </c>
      <c r="O283" s="42"/>
      <c r="P283" s="46">
        <v>51.473999999999997</v>
      </c>
      <c r="Q283" s="47">
        <v>58.23</v>
      </c>
      <c r="R283" s="85">
        <v>4</v>
      </c>
      <c r="S283" s="41" t="str">
        <f>IF(COUNTA(#REF!)=1,"유","무")</f>
        <v>유</v>
      </c>
      <c r="T283" s="86">
        <v>23.300999999999998</v>
      </c>
      <c r="U283" s="86">
        <v>9.74</v>
      </c>
      <c r="V283" s="42"/>
    </row>
    <row r="284" spans="1:22" ht="27" customHeight="1" x14ac:dyDescent="0.15">
      <c r="A284" s="145">
        <v>278</v>
      </c>
      <c r="B284" s="42">
        <v>2403618</v>
      </c>
      <c r="C284" s="42" t="s">
        <v>1845</v>
      </c>
      <c r="D284" s="42" t="s">
        <v>1939</v>
      </c>
      <c r="E284" s="42" t="s">
        <v>328</v>
      </c>
      <c r="F284" s="42" t="s">
        <v>2002</v>
      </c>
      <c r="G284" s="75" t="s">
        <v>507</v>
      </c>
      <c r="H284" s="42" t="s">
        <v>2300</v>
      </c>
      <c r="I284" s="42" t="s">
        <v>2286</v>
      </c>
      <c r="J284" s="8" t="s">
        <v>2094</v>
      </c>
      <c r="K284" s="8" t="str">
        <f t="shared" si="9"/>
        <v>129-23-34</v>
      </c>
      <c r="L284" s="8" t="s">
        <v>2189</v>
      </c>
      <c r="M284" s="8" t="str">
        <f t="shared" si="10"/>
        <v>35-56-28</v>
      </c>
      <c r="N284" s="45">
        <v>45658</v>
      </c>
      <c r="O284" s="42"/>
      <c r="P284" s="46">
        <v>47.341000000000001</v>
      </c>
      <c r="Q284" s="47">
        <v>53.895000000000003</v>
      </c>
      <c r="R284" s="85">
        <v>4</v>
      </c>
      <c r="S284" s="41" t="str">
        <f>IF(COUNTA(#REF!)=1,"유","무")</f>
        <v>유</v>
      </c>
      <c r="T284" s="86">
        <v>28.606999999999999</v>
      </c>
      <c r="U284" s="86">
        <v>1.034</v>
      </c>
      <c r="V284" s="42"/>
    </row>
    <row r="285" spans="1:22" s="23" customFormat="1" ht="27" customHeight="1" x14ac:dyDescent="0.15">
      <c r="A285" s="145">
        <v>279</v>
      </c>
      <c r="B285" s="87">
        <v>2403620</v>
      </c>
      <c r="C285" s="41" t="s">
        <v>1464</v>
      </c>
      <c r="D285" s="41" t="s">
        <v>1668</v>
      </c>
      <c r="E285" s="41" t="s">
        <v>1450</v>
      </c>
      <c r="F285" s="41" t="s">
        <v>1465</v>
      </c>
      <c r="G285" s="75" t="s">
        <v>507</v>
      </c>
      <c r="H285" s="42" t="s">
        <v>1742</v>
      </c>
      <c r="I285" s="41" t="s">
        <v>1466</v>
      </c>
      <c r="J285" s="13" t="s">
        <v>1467</v>
      </c>
      <c r="K285" s="13" t="str">
        <f t="shared" si="9"/>
        <v>129-24-23</v>
      </c>
      <c r="L285" s="13" t="s">
        <v>1468</v>
      </c>
      <c r="M285" s="13" t="str">
        <f t="shared" si="10"/>
        <v>35-57-06</v>
      </c>
      <c r="N285" s="52">
        <v>44990</v>
      </c>
      <c r="O285" s="41" t="s">
        <v>1459</v>
      </c>
      <c r="P285" s="48">
        <v>26.893999999999998</v>
      </c>
      <c r="Q285" s="49">
        <v>36.381</v>
      </c>
      <c r="R285" s="50">
        <v>8</v>
      </c>
      <c r="S285" s="41" t="str">
        <f>IF(COUNTA(#REF!)=1,"유","무")</f>
        <v>유</v>
      </c>
      <c r="T285" s="51">
        <v>60.094999999999999</v>
      </c>
      <c r="U285" s="51">
        <v>6.7930000000000001</v>
      </c>
      <c r="V285" s="41" t="s">
        <v>1477</v>
      </c>
    </row>
    <row r="286" spans="1:22" s="23" customFormat="1" ht="27" customHeight="1" x14ac:dyDescent="0.15">
      <c r="A286" s="145">
        <v>280</v>
      </c>
      <c r="B286" s="42">
        <v>2403625</v>
      </c>
      <c r="C286" s="42" t="s">
        <v>1451</v>
      </c>
      <c r="D286" s="42" t="s">
        <v>1669</v>
      </c>
      <c r="E286" s="42" t="s">
        <v>1450</v>
      </c>
      <c r="F286" s="42" t="s">
        <v>1402</v>
      </c>
      <c r="G286" s="75" t="s">
        <v>507</v>
      </c>
      <c r="H286" s="42" t="s">
        <v>87</v>
      </c>
      <c r="I286" s="42" t="s">
        <v>1473</v>
      </c>
      <c r="J286" s="8" t="s">
        <v>1474</v>
      </c>
      <c r="K286" s="8" t="str">
        <f t="shared" si="9"/>
        <v>129-27-56</v>
      </c>
      <c r="L286" s="8" t="s">
        <v>1475</v>
      </c>
      <c r="M286" s="8" t="str">
        <f t="shared" si="10"/>
        <v>35-45-01</v>
      </c>
      <c r="N286" s="45">
        <v>44935</v>
      </c>
      <c r="O286" s="42" t="s">
        <v>1459</v>
      </c>
      <c r="P286" s="46">
        <v>4.7430000000000003</v>
      </c>
      <c r="Q286" s="47">
        <v>13.497</v>
      </c>
      <c r="R286" s="85">
        <v>6</v>
      </c>
      <c r="S286" s="41" t="str">
        <f>IF(COUNTA(#REF!)=1,"유","무")</f>
        <v>유</v>
      </c>
      <c r="T286" s="86">
        <v>110.321</v>
      </c>
      <c r="U286" s="86">
        <v>1.7929999999999999</v>
      </c>
      <c r="V286" s="42" t="s">
        <v>1299</v>
      </c>
    </row>
    <row r="287" spans="1:22" ht="27" customHeight="1" x14ac:dyDescent="0.15">
      <c r="A287" s="145">
        <v>281</v>
      </c>
      <c r="B287" s="42">
        <v>2403660</v>
      </c>
      <c r="C287" s="42" t="s">
        <v>1804</v>
      </c>
      <c r="D287" s="42" t="s">
        <v>1899</v>
      </c>
      <c r="E287" s="42" t="s">
        <v>328</v>
      </c>
      <c r="F287" s="42" t="s">
        <v>1982</v>
      </c>
      <c r="G287" s="75" t="s">
        <v>507</v>
      </c>
      <c r="H287" s="42" t="s">
        <v>2299</v>
      </c>
      <c r="I287" s="42" t="s">
        <v>2246</v>
      </c>
      <c r="J287" s="8" t="s">
        <v>2053</v>
      </c>
      <c r="K287" s="8" t="str">
        <f t="shared" si="9"/>
        <v>129-26-23</v>
      </c>
      <c r="L287" s="8" t="s">
        <v>2148</v>
      </c>
      <c r="M287" s="8" t="str">
        <f t="shared" si="10"/>
        <v>35-38-23</v>
      </c>
      <c r="N287" s="45">
        <v>45658</v>
      </c>
      <c r="O287" s="42"/>
      <c r="P287" s="46">
        <v>-0.23899999999999999</v>
      </c>
      <c r="Q287" s="47">
        <v>5.4450000000000003</v>
      </c>
      <c r="R287" s="85">
        <v>4</v>
      </c>
      <c r="S287" s="41" t="str">
        <f>IF(COUNTA(#REF!)=1,"유","무")</f>
        <v>유</v>
      </c>
      <c r="T287" s="86">
        <v>18.824999999999999</v>
      </c>
      <c r="U287" s="86">
        <v>0.123</v>
      </c>
      <c r="V287" s="42"/>
    </row>
    <row r="288" spans="1:22" ht="27" customHeight="1" x14ac:dyDescent="0.15">
      <c r="A288" s="145">
        <v>282</v>
      </c>
      <c r="B288" s="42">
        <v>2501630</v>
      </c>
      <c r="C288" s="42" t="s">
        <v>1794</v>
      </c>
      <c r="D288" s="42" t="s">
        <v>1889</v>
      </c>
      <c r="E288" s="42" t="s">
        <v>1944</v>
      </c>
      <c r="F288" s="42" t="s">
        <v>1976</v>
      </c>
      <c r="G288" s="75" t="s">
        <v>507</v>
      </c>
      <c r="H288" s="42" t="s">
        <v>2299</v>
      </c>
      <c r="I288" s="42" t="s">
        <v>2236</v>
      </c>
      <c r="J288" s="8" t="s">
        <v>2043</v>
      </c>
      <c r="K288" s="8" t="str">
        <f t="shared" si="9"/>
        <v>127-57-50</v>
      </c>
      <c r="L288" s="8" t="s">
        <v>2138</v>
      </c>
      <c r="M288" s="8" t="str">
        <f t="shared" si="10"/>
        <v>35-03-41</v>
      </c>
      <c r="N288" s="45">
        <v>45658</v>
      </c>
      <c r="O288" s="42"/>
      <c r="P288" s="46">
        <v>3.3860000000000001</v>
      </c>
      <c r="Q288" s="47">
        <v>10.275</v>
      </c>
      <c r="R288" s="85">
        <v>6</v>
      </c>
      <c r="S288" s="41" t="str">
        <f>IF(COUNTA(#REF!)=1,"유","무")</f>
        <v>유</v>
      </c>
      <c r="T288" s="86">
        <v>53.808999999999997</v>
      </c>
      <c r="U288" s="86">
        <v>4.6210000000000004</v>
      </c>
      <c r="V288" s="42"/>
    </row>
    <row r="289" spans="1:22" ht="27" customHeight="1" x14ac:dyDescent="0.15">
      <c r="A289" s="145">
        <v>283</v>
      </c>
      <c r="B289" s="42">
        <v>2502610</v>
      </c>
      <c r="C289" s="42" t="s">
        <v>1792</v>
      </c>
      <c r="D289" s="42" t="s">
        <v>1887</v>
      </c>
      <c r="E289" s="42" t="s">
        <v>1944</v>
      </c>
      <c r="F289" s="42" t="s">
        <v>1975</v>
      </c>
      <c r="G289" s="75" t="s">
        <v>507</v>
      </c>
      <c r="H289" s="42" t="s">
        <v>2300</v>
      </c>
      <c r="I289" s="42" t="s">
        <v>2234</v>
      </c>
      <c r="J289" s="8" t="s">
        <v>2041</v>
      </c>
      <c r="K289" s="8" t="str">
        <f t="shared" si="9"/>
        <v>127-50-37</v>
      </c>
      <c r="L289" s="8" t="s">
        <v>2136</v>
      </c>
      <c r="M289" s="8" t="str">
        <f t="shared" si="10"/>
        <v>34-48-37</v>
      </c>
      <c r="N289" s="45">
        <v>45658</v>
      </c>
      <c r="O289" s="42"/>
      <c r="P289" s="46">
        <v>1.6459999999999999</v>
      </c>
      <c r="Q289" s="47">
        <v>6.7450000000000001</v>
      </c>
      <c r="R289" s="85">
        <v>4</v>
      </c>
      <c r="S289" s="41" t="str">
        <f>IF(COUNTA(#REF!)=1,"유","무")</f>
        <v>유</v>
      </c>
      <c r="T289" s="86">
        <v>15.975</v>
      </c>
      <c r="U289" s="86">
        <v>0.65</v>
      </c>
      <c r="V289" s="42"/>
    </row>
    <row r="290" spans="1:22" ht="27" customHeight="1" x14ac:dyDescent="0.15">
      <c r="A290" s="145">
        <v>284</v>
      </c>
      <c r="B290" s="42">
        <v>2502630</v>
      </c>
      <c r="C290" s="42" t="s">
        <v>1790</v>
      </c>
      <c r="D290" s="42" t="s">
        <v>1885</v>
      </c>
      <c r="E290" s="42" t="s">
        <v>1944</v>
      </c>
      <c r="F290" s="42" t="s">
        <v>1973</v>
      </c>
      <c r="G290" s="75" t="s">
        <v>507</v>
      </c>
      <c r="H290" s="42" t="s">
        <v>2300</v>
      </c>
      <c r="I290" s="42" t="s">
        <v>2232</v>
      </c>
      <c r="J290" s="8" t="s">
        <v>2039</v>
      </c>
      <c r="K290" s="8" t="str">
        <f t="shared" si="9"/>
        <v>127-53-50</v>
      </c>
      <c r="L290" s="8" t="s">
        <v>2134</v>
      </c>
      <c r="M290" s="8" t="str">
        <f t="shared" si="10"/>
        <v>34-49-53</v>
      </c>
      <c r="N290" s="45">
        <v>45658</v>
      </c>
      <c r="O290" s="42"/>
      <c r="P290" s="46">
        <v>8.6310000000000002</v>
      </c>
      <c r="Q290" s="47">
        <v>12.65</v>
      </c>
      <c r="R290" s="85">
        <v>3.3</v>
      </c>
      <c r="S290" s="41" t="str">
        <f>IF(COUNTA(#REF!)=1,"유","무")</f>
        <v>유</v>
      </c>
      <c r="T290" s="86">
        <v>3.1859999999999999</v>
      </c>
      <c r="U290" s="86">
        <v>2.1720000000000002</v>
      </c>
      <c r="V290" s="42"/>
    </row>
    <row r="291" spans="1:22" ht="27" customHeight="1" x14ac:dyDescent="0.15">
      <c r="A291" s="145">
        <v>285</v>
      </c>
      <c r="B291" s="42">
        <v>2502660</v>
      </c>
      <c r="C291" s="42" t="s">
        <v>1791</v>
      </c>
      <c r="D291" s="42" t="s">
        <v>1886</v>
      </c>
      <c r="E291" s="42" t="s">
        <v>1944</v>
      </c>
      <c r="F291" s="42" t="s">
        <v>1974</v>
      </c>
      <c r="G291" s="75" t="s">
        <v>507</v>
      </c>
      <c r="H291" s="42" t="s">
        <v>2299</v>
      </c>
      <c r="I291" s="42" t="s">
        <v>2233</v>
      </c>
      <c r="J291" s="8" t="s">
        <v>2040</v>
      </c>
      <c r="K291" s="8" t="str">
        <f t="shared" si="9"/>
        <v>128-01-59</v>
      </c>
      <c r="L291" s="8" t="s">
        <v>2135</v>
      </c>
      <c r="M291" s="8" t="str">
        <f t="shared" si="10"/>
        <v>34-48-22</v>
      </c>
      <c r="N291" s="45">
        <v>45658</v>
      </c>
      <c r="O291" s="42"/>
      <c r="P291" s="46">
        <v>10.407999999999999</v>
      </c>
      <c r="Q291" s="47">
        <v>16.510000000000002</v>
      </c>
      <c r="R291" s="85">
        <v>4</v>
      </c>
      <c r="S291" s="41" t="str">
        <f>IF(COUNTA(#REF!)=1,"유","무")</f>
        <v>유</v>
      </c>
      <c r="T291" s="86">
        <v>22.54</v>
      </c>
      <c r="U291" s="86">
        <v>2.3149999999999999</v>
      </c>
      <c r="V291" s="42"/>
    </row>
    <row r="292" spans="1:22" ht="27" customHeight="1" x14ac:dyDescent="0.15">
      <c r="A292" s="145">
        <v>286</v>
      </c>
      <c r="B292" s="42">
        <v>2503623</v>
      </c>
      <c r="C292" s="42" t="s">
        <v>1787</v>
      </c>
      <c r="D292" s="42" t="s">
        <v>1882</v>
      </c>
      <c r="E292" s="42" t="s">
        <v>1944</v>
      </c>
      <c r="F292" s="42" t="s">
        <v>1971</v>
      </c>
      <c r="G292" s="75" t="s">
        <v>507</v>
      </c>
      <c r="H292" s="42" t="s">
        <v>2299</v>
      </c>
      <c r="I292" s="42" t="s">
        <v>2229</v>
      </c>
      <c r="J292" s="8" t="s">
        <v>2036</v>
      </c>
      <c r="K292" s="8" t="str">
        <f t="shared" si="9"/>
        <v>128-42-16</v>
      </c>
      <c r="L292" s="8" t="s">
        <v>2131</v>
      </c>
      <c r="M292" s="8" t="str">
        <f t="shared" si="10"/>
        <v>34-54-35</v>
      </c>
      <c r="N292" s="45">
        <v>45658</v>
      </c>
      <c r="O292" s="42"/>
      <c r="P292" s="46">
        <v>4.96</v>
      </c>
      <c r="Q292" s="47">
        <v>9.4390000000000001</v>
      </c>
      <c r="R292" s="85">
        <v>5</v>
      </c>
      <c r="S292" s="41" t="str">
        <f>IF(COUNTA(#REF!)=1,"유","무")</f>
        <v>유</v>
      </c>
      <c r="T292" s="86">
        <v>3.056</v>
      </c>
      <c r="U292" s="86">
        <v>0.67300000000000004</v>
      </c>
      <c r="V292" s="42"/>
    </row>
    <row r="293" spans="1:22" ht="27" customHeight="1" x14ac:dyDescent="0.15">
      <c r="A293" s="145">
        <v>287</v>
      </c>
      <c r="B293" s="42">
        <v>2503635</v>
      </c>
      <c r="C293" s="42" t="s">
        <v>1755</v>
      </c>
      <c r="D293" s="42" t="s">
        <v>1850</v>
      </c>
      <c r="E293" s="42" t="s">
        <v>1944</v>
      </c>
      <c r="F293" s="42" t="s">
        <v>338</v>
      </c>
      <c r="G293" s="75" t="s">
        <v>507</v>
      </c>
      <c r="H293" s="42" t="s">
        <v>2296</v>
      </c>
      <c r="I293" s="42" t="s">
        <v>2197</v>
      </c>
      <c r="J293" s="8" t="s">
        <v>2004</v>
      </c>
      <c r="K293" s="8" t="str">
        <f t="shared" ref="K293:K296" si="11">LEFT(TRIM(J293),7)&amp;TEXT(ROUND(RIGHT(TRIM(J293),LEN(TRIM(J293))-7),0),"00")</f>
        <v>128-38-00</v>
      </c>
      <c r="L293" s="8" t="s">
        <v>2099</v>
      </c>
      <c r="M293" s="8" t="str">
        <f t="shared" ref="M293:M296" si="12">LEFT(TRIM(L293),6)&amp;TEXT(ROUND(RIGHT(TRIM(L293),LEN(TRIM(L293))-6),0),"00")</f>
        <v>34-52-38</v>
      </c>
      <c r="N293" s="45">
        <v>45658</v>
      </c>
      <c r="O293" s="42"/>
      <c r="P293" s="46">
        <v>8.3010000000000002</v>
      </c>
      <c r="Q293" s="47">
        <v>15.004</v>
      </c>
      <c r="R293" s="85">
        <v>5</v>
      </c>
      <c r="S293" s="41" t="str">
        <f>IF(COUNTA(#REF!)=1,"유","무")</f>
        <v>유</v>
      </c>
      <c r="T293" s="86">
        <v>10.811999999999999</v>
      </c>
      <c r="U293" s="86">
        <v>1.7969999999999999</v>
      </c>
      <c r="V293" s="42"/>
    </row>
    <row r="294" spans="1:22" ht="27" customHeight="1" x14ac:dyDescent="0.15">
      <c r="A294" s="145">
        <v>288</v>
      </c>
      <c r="B294" s="42">
        <v>2504655</v>
      </c>
      <c r="C294" s="42" t="s">
        <v>1798</v>
      </c>
      <c r="D294" s="42" t="s">
        <v>1893</v>
      </c>
      <c r="E294" s="42" t="s">
        <v>1944</v>
      </c>
      <c r="F294" s="42" t="s">
        <v>1978</v>
      </c>
      <c r="G294" s="75" t="s">
        <v>507</v>
      </c>
      <c r="H294" s="42" t="s">
        <v>2299</v>
      </c>
      <c r="I294" s="42" t="s">
        <v>2240</v>
      </c>
      <c r="J294" s="8" t="s">
        <v>2047</v>
      </c>
      <c r="K294" s="8" t="str">
        <f>LEFT(TRIM(J294),7)&amp;TEXT(ROUND(RIGHT(TRIM(J294),LEN(TRIM(J294))-7),0),"00")</f>
        <v>128-29-01</v>
      </c>
      <c r="L294" s="8" t="s">
        <v>2142</v>
      </c>
      <c r="M294" s="8" t="str">
        <f>LEFT(TRIM(L294),6)&amp;TEXT(ROUND(RIGHT(TRIM(L294),LEN(TRIM(L294))-6),0),"00")</f>
        <v>35-08-16</v>
      </c>
      <c r="N294" s="45">
        <v>45658</v>
      </c>
      <c r="O294" s="42"/>
      <c r="P294" s="46">
        <v>18.532</v>
      </c>
      <c r="Q294" s="47">
        <v>26.427</v>
      </c>
      <c r="R294" s="85">
        <v>5</v>
      </c>
      <c r="S294" s="41" t="str">
        <f>IF(COUNTA(#REF!)=1,"유","무")</f>
        <v>유</v>
      </c>
      <c r="T294" s="86">
        <v>17.89</v>
      </c>
      <c r="U294" s="86">
        <v>2.8559999999999999</v>
      </c>
      <c r="V294" s="42"/>
    </row>
    <row r="295" spans="1:22" ht="27" customHeight="1" x14ac:dyDescent="0.15">
      <c r="A295" s="145">
        <v>289</v>
      </c>
      <c r="B295" s="42">
        <v>2504660</v>
      </c>
      <c r="C295" s="42" t="s">
        <v>1757</v>
      </c>
      <c r="D295" s="42" t="s">
        <v>1852</v>
      </c>
      <c r="E295" s="42" t="s">
        <v>1944</v>
      </c>
      <c r="F295" s="42" t="s">
        <v>1946</v>
      </c>
      <c r="G295" s="75" t="s">
        <v>37</v>
      </c>
      <c r="H295" s="42" t="s">
        <v>2297</v>
      </c>
      <c r="I295" s="42" t="s">
        <v>2199</v>
      </c>
      <c r="J295" s="8" t="s">
        <v>2006</v>
      </c>
      <c r="K295" s="8" t="str">
        <f t="shared" si="11"/>
        <v>128-39-53</v>
      </c>
      <c r="L295" s="8" t="s">
        <v>2101</v>
      </c>
      <c r="M295" s="8" t="str">
        <f t="shared" si="12"/>
        <v>35-14-46</v>
      </c>
      <c r="N295" s="45">
        <v>45658</v>
      </c>
      <c r="O295" s="42"/>
      <c r="P295" s="46">
        <v>4.4480000000000004</v>
      </c>
      <c r="Q295" s="47">
        <v>10.497999999999999</v>
      </c>
      <c r="R295" s="85">
        <v>5</v>
      </c>
      <c r="S295" s="41" t="str">
        <f>IF(COUNTA(#REF!)=1,"유","무")</f>
        <v>유</v>
      </c>
      <c r="T295" s="86">
        <v>12.004</v>
      </c>
      <c r="U295" s="86">
        <v>4.524</v>
      </c>
      <c r="V295" s="42"/>
    </row>
    <row r="296" spans="1:22" ht="27" customHeight="1" x14ac:dyDescent="0.15">
      <c r="A296" s="145">
        <v>290</v>
      </c>
      <c r="B296" s="42">
        <v>2504662</v>
      </c>
      <c r="C296" s="42" t="s">
        <v>1799</v>
      </c>
      <c r="D296" s="42" t="s">
        <v>1894</v>
      </c>
      <c r="E296" s="42" t="s">
        <v>1944</v>
      </c>
      <c r="F296" s="42" t="s">
        <v>1979</v>
      </c>
      <c r="G296" s="75" t="s">
        <v>37</v>
      </c>
      <c r="H296" s="42" t="s">
        <v>2299</v>
      </c>
      <c r="I296" s="42" t="s">
        <v>2241</v>
      </c>
      <c r="J296" s="8" t="s">
        <v>2048</v>
      </c>
      <c r="K296" s="8" t="str">
        <f t="shared" si="11"/>
        <v>128-34-09</v>
      </c>
      <c r="L296" s="8" t="s">
        <v>2143</v>
      </c>
      <c r="M296" s="8" t="str">
        <f t="shared" si="12"/>
        <v>35-13-53</v>
      </c>
      <c r="N296" s="45">
        <v>45658</v>
      </c>
      <c r="O296" s="42"/>
      <c r="P296" s="46">
        <v>20.248999999999999</v>
      </c>
      <c r="Q296" s="47">
        <v>27.17</v>
      </c>
      <c r="R296" s="85">
        <v>5</v>
      </c>
      <c r="S296" s="41" t="str">
        <f>IF(COUNTA(#REF!)=1,"유","무")</f>
        <v>유</v>
      </c>
      <c r="T296" s="86">
        <v>10.157999999999999</v>
      </c>
      <c r="U296" s="86">
        <v>3.3969999999999998</v>
      </c>
      <c r="V296" s="42"/>
    </row>
    <row r="298" spans="1:22" ht="27" customHeight="1" x14ac:dyDescent="0.15">
      <c r="A298" s="88"/>
      <c r="B298" s="75"/>
      <c r="C298" s="75"/>
      <c r="D298" s="75"/>
      <c r="E298" s="75"/>
      <c r="F298" s="75"/>
      <c r="G298" s="75"/>
      <c r="H298" s="75"/>
      <c r="I298" s="75"/>
      <c r="J298" s="75"/>
      <c r="K298" s="76"/>
      <c r="L298" s="75"/>
      <c r="M298" s="75"/>
      <c r="N298" s="89"/>
      <c r="O298" s="75"/>
      <c r="P298" s="90"/>
      <c r="Q298" s="91"/>
      <c r="R298" s="81"/>
      <c r="S298" s="75"/>
      <c r="T298" s="92"/>
      <c r="U298" s="82"/>
      <c r="V298" s="75"/>
    </row>
  </sheetData>
  <mergeCells count="18">
    <mergeCell ref="F5:F6"/>
    <mergeCell ref="V5:V6"/>
    <mergeCell ref="I3:M3"/>
    <mergeCell ref="I4:M4"/>
    <mergeCell ref="R5:R6"/>
    <mergeCell ref="A1:V1"/>
    <mergeCell ref="A2:V2"/>
    <mergeCell ref="P5:P6"/>
    <mergeCell ref="S5:S6"/>
    <mergeCell ref="T5:T6"/>
    <mergeCell ref="N3:N4"/>
    <mergeCell ref="N5:N6"/>
    <mergeCell ref="Q5:Q6"/>
    <mergeCell ref="O5:O6"/>
    <mergeCell ref="C3:D3"/>
    <mergeCell ref="C4:D4"/>
    <mergeCell ref="C5:D5"/>
    <mergeCell ref="C6:D6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20" firstPageNumber="2" fitToHeight="0" orientation="landscape" useFirstPageNumber="1" r:id="rId1"/>
  <headerFooter alignWithMargins="0"/>
  <colBreaks count="1" manualBreakCount="1">
    <brk id="14" max="387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A3C81-C0B3-4BB4-88C3-0C19702DF1E8}">
  <dimension ref="A1:Q183"/>
  <sheetViews>
    <sheetView workbookViewId="0">
      <selection activeCell="F20" sqref="F20"/>
    </sheetView>
  </sheetViews>
  <sheetFormatPr defaultRowHeight="13.5" x14ac:dyDescent="0.15"/>
  <cols>
    <col min="4" max="4" width="15.88671875" customWidth="1"/>
    <col min="9" max="9" width="40.88671875" bestFit="1" customWidth="1"/>
    <col min="16" max="16" width="13.33203125" customWidth="1"/>
    <col min="17" max="17" width="13.21875" customWidth="1"/>
  </cols>
  <sheetData>
    <row r="1" spans="1:17" x14ac:dyDescent="0.15">
      <c r="A1" s="64" t="s">
        <v>1419</v>
      </c>
      <c r="B1" s="63" t="s">
        <v>1241</v>
      </c>
      <c r="C1" s="58" t="s">
        <v>1463</v>
      </c>
      <c r="D1" s="62" t="s">
        <v>1462</v>
      </c>
      <c r="E1" s="58" t="s">
        <v>518</v>
      </c>
      <c r="F1" s="58" t="s">
        <v>519</v>
      </c>
      <c r="G1" s="62" t="s">
        <v>1242</v>
      </c>
      <c r="H1" s="62" t="s">
        <v>1243</v>
      </c>
      <c r="I1" s="56" t="s">
        <v>520</v>
      </c>
      <c r="J1" s="56" t="s">
        <v>1244</v>
      </c>
      <c r="K1" s="56" t="s">
        <v>1245</v>
      </c>
      <c r="L1" s="59">
        <v>2020</v>
      </c>
      <c r="M1" s="59">
        <v>2021</v>
      </c>
      <c r="N1" s="59">
        <v>2022</v>
      </c>
      <c r="O1" s="59">
        <v>2023</v>
      </c>
      <c r="P1" s="59" t="s">
        <v>1471</v>
      </c>
      <c r="Q1" s="59" t="s">
        <v>1472</v>
      </c>
    </row>
    <row r="2" spans="1:17" x14ac:dyDescent="0.15">
      <c r="A2" s="36">
        <f t="shared" ref="A2:A33" si="0">ROW()-2</f>
        <v>0</v>
      </c>
      <c r="B2" s="30">
        <v>2015630</v>
      </c>
      <c r="C2" s="57" t="s">
        <v>341</v>
      </c>
      <c r="D2" s="18" t="s">
        <v>893</v>
      </c>
      <c r="E2" s="57" t="s">
        <v>46</v>
      </c>
      <c r="F2" s="57" t="s">
        <v>145</v>
      </c>
      <c r="G2" s="57" t="s">
        <v>1247</v>
      </c>
      <c r="H2" s="17">
        <v>40969</v>
      </c>
      <c r="I2" s="17" t="s">
        <v>1265</v>
      </c>
      <c r="J2" s="17" t="s">
        <v>1108</v>
      </c>
      <c r="K2" s="17" t="s">
        <v>1107</v>
      </c>
      <c r="L2" s="73" t="s">
        <v>494</v>
      </c>
      <c r="M2" s="73" t="s">
        <v>494</v>
      </c>
      <c r="N2" s="73" t="s">
        <v>494</v>
      </c>
      <c r="O2" s="73" t="s">
        <v>494</v>
      </c>
      <c r="P2" s="74"/>
      <c r="Q2" s="74"/>
    </row>
    <row r="3" spans="1:17" x14ac:dyDescent="0.15">
      <c r="A3" s="36">
        <f t="shared" si="0"/>
        <v>1</v>
      </c>
      <c r="B3" s="30">
        <v>2012648</v>
      </c>
      <c r="C3" s="53" t="s">
        <v>114</v>
      </c>
      <c r="D3" s="18" t="s">
        <v>401</v>
      </c>
      <c r="E3" s="53" t="s">
        <v>46</v>
      </c>
      <c r="F3" s="53" t="s">
        <v>115</v>
      </c>
      <c r="G3" s="53" t="s">
        <v>1246</v>
      </c>
      <c r="H3" s="17">
        <v>39814</v>
      </c>
      <c r="I3" s="17" t="s">
        <v>262</v>
      </c>
      <c r="J3" s="17" t="s">
        <v>1060</v>
      </c>
      <c r="K3" s="17" t="s">
        <v>1059</v>
      </c>
      <c r="L3" s="60"/>
      <c r="M3" s="60" t="s">
        <v>494</v>
      </c>
      <c r="N3" s="60" t="s">
        <v>494</v>
      </c>
      <c r="O3" s="60" t="s">
        <v>494</v>
      </c>
    </row>
    <row r="4" spans="1:17" x14ac:dyDescent="0.15">
      <c r="A4" s="36">
        <f t="shared" si="0"/>
        <v>2</v>
      </c>
      <c r="B4" s="30">
        <v>2012650</v>
      </c>
      <c r="C4" s="53" t="s">
        <v>116</v>
      </c>
      <c r="D4" s="18" t="s">
        <v>402</v>
      </c>
      <c r="E4" s="53" t="s">
        <v>46</v>
      </c>
      <c r="F4" s="53" t="s">
        <v>109</v>
      </c>
      <c r="G4" s="53" t="s">
        <v>1247</v>
      </c>
      <c r="H4" s="17">
        <v>37357</v>
      </c>
      <c r="I4" s="17" t="s">
        <v>1262</v>
      </c>
      <c r="J4" s="17" t="s">
        <v>1062</v>
      </c>
      <c r="K4" s="17" t="s">
        <v>1061</v>
      </c>
      <c r="L4" s="60"/>
      <c r="M4" s="60"/>
      <c r="N4" s="60"/>
      <c r="O4" s="60"/>
    </row>
    <row r="5" spans="1:17" x14ac:dyDescent="0.15">
      <c r="A5" s="36">
        <f t="shared" si="0"/>
        <v>3</v>
      </c>
      <c r="B5" s="30">
        <v>2101675</v>
      </c>
      <c r="C5" s="53" t="s">
        <v>210</v>
      </c>
      <c r="D5" s="18" t="s">
        <v>913</v>
      </c>
      <c r="E5" s="53" t="s">
        <v>202</v>
      </c>
      <c r="F5" s="53" t="s">
        <v>202</v>
      </c>
      <c r="G5" s="53" t="s">
        <v>1247</v>
      </c>
      <c r="H5" s="17">
        <v>22828</v>
      </c>
      <c r="I5" s="17" t="s">
        <v>1287</v>
      </c>
      <c r="J5" s="17" t="s">
        <v>1208</v>
      </c>
      <c r="K5" s="17" t="s">
        <v>1207</v>
      </c>
      <c r="L5" s="60" t="s">
        <v>494</v>
      </c>
      <c r="M5" s="60" t="s">
        <v>494</v>
      </c>
      <c r="N5" s="60" t="s">
        <v>494</v>
      </c>
      <c r="O5" s="60" t="s">
        <v>1248</v>
      </c>
    </row>
    <row r="6" spans="1:17" x14ac:dyDescent="0.15">
      <c r="A6" s="36">
        <f t="shared" si="0"/>
        <v>4</v>
      </c>
      <c r="B6" s="30">
        <v>2403625</v>
      </c>
      <c r="C6" s="53" t="s">
        <v>1299</v>
      </c>
      <c r="D6" s="18" t="s">
        <v>1451</v>
      </c>
      <c r="E6" s="27" t="s">
        <v>328</v>
      </c>
      <c r="F6" s="37" t="s">
        <v>1402</v>
      </c>
      <c r="G6" s="57" t="s">
        <v>1246</v>
      </c>
      <c r="H6" s="37"/>
      <c r="I6" s="37"/>
      <c r="J6" s="37"/>
      <c r="K6" s="37"/>
      <c r="L6" s="61"/>
      <c r="M6" s="61"/>
      <c r="N6" s="61"/>
      <c r="O6" s="61"/>
    </row>
    <row r="7" spans="1:17" x14ac:dyDescent="0.15">
      <c r="A7" s="36">
        <f t="shared" si="0"/>
        <v>5</v>
      </c>
      <c r="B7" s="30">
        <v>2101680</v>
      </c>
      <c r="C7" s="53" t="s">
        <v>211</v>
      </c>
      <c r="D7" s="18" t="s">
        <v>473</v>
      </c>
      <c r="E7" s="53" t="s">
        <v>202</v>
      </c>
      <c r="F7" s="53" t="s">
        <v>202</v>
      </c>
      <c r="G7" s="53" t="s">
        <v>1247</v>
      </c>
      <c r="H7" s="17">
        <v>10502</v>
      </c>
      <c r="I7" s="17" t="s">
        <v>1288</v>
      </c>
      <c r="J7" s="17" t="s">
        <v>1210</v>
      </c>
      <c r="K7" s="17" t="s">
        <v>1209</v>
      </c>
      <c r="L7" s="60"/>
      <c r="M7" s="60"/>
      <c r="N7" s="60"/>
      <c r="O7" s="60"/>
    </row>
    <row r="8" spans="1:17" x14ac:dyDescent="0.15">
      <c r="A8" s="36">
        <f t="shared" si="0"/>
        <v>6</v>
      </c>
      <c r="B8" s="30">
        <v>2101668</v>
      </c>
      <c r="C8" s="53" t="s">
        <v>208</v>
      </c>
      <c r="D8" s="18" t="s">
        <v>472</v>
      </c>
      <c r="E8" s="53" t="s">
        <v>202</v>
      </c>
      <c r="F8" s="53" t="s">
        <v>209</v>
      </c>
      <c r="G8" s="53" t="s">
        <v>1246</v>
      </c>
      <c r="H8" s="17">
        <v>35947</v>
      </c>
      <c r="I8" s="17" t="s">
        <v>319</v>
      </c>
      <c r="J8" s="17" t="s">
        <v>1206</v>
      </c>
      <c r="K8" s="17" t="s">
        <v>1205</v>
      </c>
      <c r="L8" s="60" t="s">
        <v>494</v>
      </c>
      <c r="M8" s="60" t="s">
        <v>494</v>
      </c>
      <c r="N8" s="60" t="s">
        <v>494</v>
      </c>
      <c r="O8" s="60" t="s">
        <v>494</v>
      </c>
    </row>
    <row r="9" spans="1:17" x14ac:dyDescent="0.15">
      <c r="A9" s="36">
        <f t="shared" si="0"/>
        <v>7</v>
      </c>
      <c r="B9" s="30">
        <v>2101610</v>
      </c>
      <c r="C9" s="53" t="s">
        <v>201</v>
      </c>
      <c r="D9" s="18" t="s">
        <v>468</v>
      </c>
      <c r="E9" s="53" t="s">
        <v>202</v>
      </c>
      <c r="F9" s="53" t="s">
        <v>202</v>
      </c>
      <c r="G9" s="53" t="s">
        <v>1246</v>
      </c>
      <c r="H9" s="17">
        <v>42370</v>
      </c>
      <c r="I9" s="17" t="s">
        <v>1284</v>
      </c>
      <c r="J9" s="17" t="s">
        <v>1198</v>
      </c>
      <c r="K9" s="17" t="s">
        <v>1197</v>
      </c>
      <c r="L9" s="60"/>
      <c r="M9" s="60"/>
      <c r="N9" s="60"/>
      <c r="O9" s="60"/>
    </row>
    <row r="10" spans="1:17" x14ac:dyDescent="0.15">
      <c r="A10" s="36">
        <f t="shared" si="0"/>
        <v>8</v>
      </c>
      <c r="B10" s="30">
        <v>2101650</v>
      </c>
      <c r="C10" s="53" t="s">
        <v>207</v>
      </c>
      <c r="D10" s="18" t="s">
        <v>471</v>
      </c>
      <c r="E10" s="53" t="s">
        <v>202</v>
      </c>
      <c r="F10" s="53" t="s">
        <v>202</v>
      </c>
      <c r="G10" s="53" t="s">
        <v>1247</v>
      </c>
      <c r="H10" s="17">
        <v>22828</v>
      </c>
      <c r="I10" s="17" t="s">
        <v>1286</v>
      </c>
      <c r="J10" s="17" t="s">
        <v>1204</v>
      </c>
      <c r="K10" s="17" t="s">
        <v>1203</v>
      </c>
      <c r="L10" s="60"/>
      <c r="M10" s="60"/>
      <c r="N10" s="60"/>
      <c r="O10" s="60"/>
    </row>
    <row r="11" spans="1:17" x14ac:dyDescent="0.15">
      <c r="A11" s="36">
        <f t="shared" si="0"/>
        <v>9</v>
      </c>
      <c r="B11" s="30">
        <v>2101625</v>
      </c>
      <c r="C11" s="53" t="s">
        <v>206</v>
      </c>
      <c r="D11" s="18" t="s">
        <v>470</v>
      </c>
      <c r="E11" s="53" t="s">
        <v>202</v>
      </c>
      <c r="F11" s="53" t="s">
        <v>202</v>
      </c>
      <c r="G11" s="53" t="s">
        <v>1247</v>
      </c>
      <c r="H11" s="17">
        <v>22828</v>
      </c>
      <c r="I11" s="17" t="s">
        <v>1285</v>
      </c>
      <c r="J11" s="17" t="s">
        <v>1202</v>
      </c>
      <c r="K11" s="17" t="s">
        <v>1201</v>
      </c>
      <c r="L11" s="60" t="s">
        <v>494</v>
      </c>
      <c r="M11" s="60" t="s">
        <v>494</v>
      </c>
      <c r="N11" s="60" t="s">
        <v>494</v>
      </c>
      <c r="O11" s="60" t="s">
        <v>494</v>
      </c>
    </row>
    <row r="12" spans="1:17" x14ac:dyDescent="0.15">
      <c r="A12" s="36">
        <f t="shared" si="0"/>
        <v>10</v>
      </c>
      <c r="B12" s="30">
        <v>2021610</v>
      </c>
      <c r="C12" s="53" t="s">
        <v>909</v>
      </c>
      <c r="D12" s="18" t="s">
        <v>453</v>
      </c>
      <c r="E12" s="53" t="s">
        <v>46</v>
      </c>
      <c r="F12" s="53" t="s">
        <v>910</v>
      </c>
      <c r="G12" s="53" t="s">
        <v>1246</v>
      </c>
      <c r="H12" s="17">
        <v>42736</v>
      </c>
      <c r="I12" s="17" t="s">
        <v>911</v>
      </c>
      <c r="J12" s="17" t="s">
        <v>1169</v>
      </c>
      <c r="K12" s="17" t="s">
        <v>1168</v>
      </c>
      <c r="L12" s="60"/>
      <c r="M12" s="60"/>
      <c r="N12" s="60"/>
      <c r="O12" s="60"/>
    </row>
    <row r="13" spans="1:17" x14ac:dyDescent="0.15">
      <c r="A13" s="36">
        <f t="shared" si="0"/>
        <v>11</v>
      </c>
      <c r="B13" s="30">
        <v>2101620</v>
      </c>
      <c r="C13" s="53" t="s">
        <v>203</v>
      </c>
      <c r="D13" s="18" t="s">
        <v>469</v>
      </c>
      <c r="E13" s="53" t="s">
        <v>202</v>
      </c>
      <c r="F13" s="53" t="s">
        <v>204</v>
      </c>
      <c r="G13" s="53" t="s">
        <v>1246</v>
      </c>
      <c r="H13" s="17">
        <v>42370</v>
      </c>
      <c r="I13" s="17" t="s">
        <v>205</v>
      </c>
      <c r="J13" s="17" t="s">
        <v>1200</v>
      </c>
      <c r="K13" s="17" t="s">
        <v>1199</v>
      </c>
      <c r="L13" s="60" t="s">
        <v>494</v>
      </c>
      <c r="M13" s="60" t="s">
        <v>494</v>
      </c>
      <c r="N13" s="60" t="s">
        <v>494</v>
      </c>
      <c r="O13" s="60" t="s">
        <v>494</v>
      </c>
    </row>
    <row r="14" spans="1:17" x14ac:dyDescent="0.15">
      <c r="A14" s="36">
        <f t="shared" si="0"/>
        <v>12</v>
      </c>
      <c r="B14" s="30">
        <v>2014640</v>
      </c>
      <c r="C14" s="53" t="s">
        <v>140</v>
      </c>
      <c r="D14" s="18" t="s">
        <v>418</v>
      </c>
      <c r="E14" s="53" t="s">
        <v>46</v>
      </c>
      <c r="F14" s="53" t="s">
        <v>46</v>
      </c>
      <c r="G14" s="53" t="s">
        <v>1247</v>
      </c>
      <c r="H14" s="17">
        <v>24838</v>
      </c>
      <c r="I14" s="17" t="s">
        <v>279</v>
      </c>
      <c r="J14" s="17" t="s">
        <v>1094</v>
      </c>
      <c r="K14" s="17" t="s">
        <v>1093</v>
      </c>
      <c r="L14" s="60" t="s">
        <v>1248</v>
      </c>
      <c r="M14" s="60" t="s">
        <v>1248</v>
      </c>
      <c r="N14" s="60" t="s">
        <v>1248</v>
      </c>
      <c r="O14" s="60" t="s">
        <v>1248</v>
      </c>
    </row>
    <row r="15" spans="1:17" x14ac:dyDescent="0.15">
      <c r="A15" s="36">
        <f t="shared" si="0"/>
        <v>13</v>
      </c>
      <c r="B15" s="30">
        <v>2013640</v>
      </c>
      <c r="C15" s="53" t="s">
        <v>133</v>
      </c>
      <c r="D15" s="18" t="s">
        <v>413</v>
      </c>
      <c r="E15" s="53" t="s">
        <v>46</v>
      </c>
      <c r="F15" s="53" t="s">
        <v>134</v>
      </c>
      <c r="G15" s="53" t="s">
        <v>1246</v>
      </c>
      <c r="H15" s="17">
        <v>40909</v>
      </c>
      <c r="I15" s="17" t="s">
        <v>274</v>
      </c>
      <c r="J15" s="17" t="s">
        <v>1085</v>
      </c>
      <c r="K15" s="17" t="s">
        <v>1084</v>
      </c>
      <c r="L15" s="60" t="s">
        <v>494</v>
      </c>
      <c r="M15" s="60"/>
      <c r="N15" s="60"/>
      <c r="O15" s="60" t="s">
        <v>494</v>
      </c>
    </row>
    <row r="16" spans="1:17" x14ac:dyDescent="0.15">
      <c r="A16" s="36">
        <f t="shared" si="0"/>
        <v>14</v>
      </c>
      <c r="B16" s="30">
        <v>2014651</v>
      </c>
      <c r="C16" s="53" t="s">
        <v>335</v>
      </c>
      <c r="D16" s="18" t="s">
        <v>420</v>
      </c>
      <c r="E16" s="53" t="s">
        <v>46</v>
      </c>
      <c r="F16" s="53" t="s">
        <v>46</v>
      </c>
      <c r="G16" s="53" t="s">
        <v>1247</v>
      </c>
      <c r="H16" s="17">
        <v>40695</v>
      </c>
      <c r="I16" s="17" t="s">
        <v>887</v>
      </c>
      <c r="J16" s="17" t="s">
        <v>1098</v>
      </c>
      <c r="K16" s="17" t="s">
        <v>1097</v>
      </c>
      <c r="L16" s="60"/>
      <c r="M16" s="60"/>
      <c r="N16" s="60"/>
      <c r="O16" s="60"/>
    </row>
    <row r="17" spans="1:15" x14ac:dyDescent="0.15">
      <c r="A17" s="36">
        <f t="shared" si="0"/>
        <v>15</v>
      </c>
      <c r="B17" s="30">
        <v>2013690</v>
      </c>
      <c r="C17" s="53" t="s">
        <v>138</v>
      </c>
      <c r="D17" s="18" t="s">
        <v>416</v>
      </c>
      <c r="E17" s="53" t="s">
        <v>46</v>
      </c>
      <c r="F17" s="53" t="s">
        <v>136</v>
      </c>
      <c r="G17" s="53" t="s">
        <v>1246</v>
      </c>
      <c r="H17" s="17">
        <v>37764</v>
      </c>
      <c r="I17" s="17" t="s">
        <v>1264</v>
      </c>
      <c r="J17" s="17" t="s">
        <v>1090</v>
      </c>
      <c r="K17" s="17" t="s">
        <v>512</v>
      </c>
      <c r="L17" s="60" t="s">
        <v>1248</v>
      </c>
      <c r="M17" s="60" t="s">
        <v>1248</v>
      </c>
      <c r="N17" s="60" t="s">
        <v>1248</v>
      </c>
      <c r="O17" s="60" t="s">
        <v>1248</v>
      </c>
    </row>
    <row r="18" spans="1:15" x14ac:dyDescent="0.15">
      <c r="A18" s="36">
        <f t="shared" si="0"/>
        <v>16</v>
      </c>
      <c r="B18" s="30">
        <v>2013685</v>
      </c>
      <c r="C18" s="53" t="s">
        <v>137</v>
      </c>
      <c r="D18" s="18" t="s">
        <v>415</v>
      </c>
      <c r="E18" s="53" t="s">
        <v>46</v>
      </c>
      <c r="F18" s="53" t="s">
        <v>136</v>
      </c>
      <c r="G18" s="53" t="s">
        <v>1246</v>
      </c>
      <c r="H18" s="17">
        <v>24838</v>
      </c>
      <c r="I18" s="17" t="s">
        <v>276</v>
      </c>
      <c r="J18" s="17" t="s">
        <v>1089</v>
      </c>
      <c r="K18" s="17" t="s">
        <v>1088</v>
      </c>
      <c r="L18" s="60"/>
      <c r="M18" s="60"/>
      <c r="N18" s="60"/>
      <c r="O18" s="60"/>
    </row>
    <row r="19" spans="1:15" x14ac:dyDescent="0.15">
      <c r="A19" s="36">
        <f t="shared" si="0"/>
        <v>17</v>
      </c>
      <c r="B19" s="30">
        <v>2013650</v>
      </c>
      <c r="C19" s="53" t="s">
        <v>135</v>
      </c>
      <c r="D19" s="18" t="s">
        <v>414</v>
      </c>
      <c r="E19" s="53" t="s">
        <v>46</v>
      </c>
      <c r="F19" s="53" t="s">
        <v>136</v>
      </c>
      <c r="G19" s="53" t="s">
        <v>1246</v>
      </c>
      <c r="H19" s="17">
        <v>22828</v>
      </c>
      <c r="I19" s="17" t="s">
        <v>275</v>
      </c>
      <c r="J19" s="17" t="s">
        <v>1087</v>
      </c>
      <c r="K19" s="17" t="s">
        <v>1086</v>
      </c>
      <c r="L19" s="60"/>
      <c r="M19" s="60"/>
      <c r="N19" s="60"/>
      <c r="O19" s="60"/>
    </row>
    <row r="20" spans="1:15" x14ac:dyDescent="0.15">
      <c r="A20" s="36">
        <f t="shared" si="0"/>
        <v>18</v>
      </c>
      <c r="B20" s="30">
        <v>2019610</v>
      </c>
      <c r="C20" s="53" t="s">
        <v>157</v>
      </c>
      <c r="D20" s="18" t="s">
        <v>433</v>
      </c>
      <c r="E20" s="53" t="s">
        <v>46</v>
      </c>
      <c r="F20" s="53" t="s">
        <v>158</v>
      </c>
      <c r="G20" s="53" t="s">
        <v>1246</v>
      </c>
      <c r="H20" s="17">
        <v>39814</v>
      </c>
      <c r="I20" s="17" t="s">
        <v>289</v>
      </c>
      <c r="J20" s="17" t="s">
        <v>1131</v>
      </c>
      <c r="K20" s="17" t="s">
        <v>1130</v>
      </c>
      <c r="L20" s="60"/>
      <c r="M20" s="60" t="s">
        <v>494</v>
      </c>
      <c r="N20" s="60" t="s">
        <v>494</v>
      </c>
      <c r="O20" s="60"/>
    </row>
    <row r="21" spans="1:15" x14ac:dyDescent="0.15">
      <c r="A21" s="36">
        <f t="shared" si="0"/>
        <v>19</v>
      </c>
      <c r="B21" s="30">
        <v>2011640</v>
      </c>
      <c r="C21" s="53" t="s">
        <v>102</v>
      </c>
      <c r="D21" s="18" t="s">
        <v>389</v>
      </c>
      <c r="E21" s="53" t="s">
        <v>46</v>
      </c>
      <c r="F21" s="53" t="s">
        <v>46</v>
      </c>
      <c r="G21" s="53" t="s">
        <v>1247</v>
      </c>
      <c r="H21" s="17">
        <v>22828</v>
      </c>
      <c r="I21" s="17" t="s">
        <v>254</v>
      </c>
      <c r="J21" s="17" t="s">
        <v>1038</v>
      </c>
      <c r="K21" s="17" t="s">
        <v>1037</v>
      </c>
      <c r="L21" s="60" t="s">
        <v>1248</v>
      </c>
      <c r="M21" s="60" t="s">
        <v>1248</v>
      </c>
      <c r="N21" s="60" t="s">
        <v>1248</v>
      </c>
      <c r="O21" s="60" t="s">
        <v>1248</v>
      </c>
    </row>
    <row r="22" spans="1:15" x14ac:dyDescent="0.15">
      <c r="A22" s="36">
        <f t="shared" si="0"/>
        <v>20</v>
      </c>
      <c r="B22" s="30">
        <v>2009680</v>
      </c>
      <c r="C22" s="53" t="s">
        <v>330</v>
      </c>
      <c r="D22" s="18" t="s">
        <v>874</v>
      </c>
      <c r="E22" s="53" t="s">
        <v>46</v>
      </c>
      <c r="F22" s="53" t="s">
        <v>46</v>
      </c>
      <c r="G22" s="53" t="s">
        <v>1247</v>
      </c>
      <c r="H22" s="17">
        <v>40329</v>
      </c>
      <c r="I22" s="17" t="s">
        <v>875</v>
      </c>
      <c r="J22" s="17" t="s">
        <v>1024</v>
      </c>
      <c r="K22" s="17" t="s">
        <v>1023</v>
      </c>
      <c r="L22" s="60"/>
      <c r="M22" s="60"/>
      <c r="N22" s="60"/>
      <c r="O22" s="60"/>
    </row>
    <row r="23" spans="1:15" x14ac:dyDescent="0.15">
      <c r="A23" s="36">
        <f t="shared" si="0"/>
        <v>21</v>
      </c>
      <c r="B23" s="32">
        <v>2009682</v>
      </c>
      <c r="C23" s="53" t="s">
        <v>331</v>
      </c>
      <c r="D23" s="18" t="s">
        <v>383</v>
      </c>
      <c r="E23" s="53" t="s">
        <v>46</v>
      </c>
      <c r="F23" s="53" t="s">
        <v>46</v>
      </c>
      <c r="G23" s="53" t="s">
        <v>1247</v>
      </c>
      <c r="H23" s="17">
        <v>40329</v>
      </c>
      <c r="I23" s="17" t="s">
        <v>876</v>
      </c>
      <c r="J23" s="17" t="s">
        <v>1026</v>
      </c>
      <c r="K23" s="17" t="s">
        <v>1025</v>
      </c>
      <c r="L23" s="60"/>
      <c r="M23" s="60"/>
      <c r="N23" s="60"/>
      <c r="O23" s="60"/>
    </row>
    <row r="24" spans="1:15" x14ac:dyDescent="0.15">
      <c r="A24" s="36">
        <f t="shared" si="0"/>
        <v>22</v>
      </c>
      <c r="B24" s="30">
        <v>2010690</v>
      </c>
      <c r="C24" s="53" t="s">
        <v>100</v>
      </c>
      <c r="D24" s="18" t="s">
        <v>387</v>
      </c>
      <c r="E24" s="53" t="s">
        <v>46</v>
      </c>
      <c r="F24" s="53" t="s">
        <v>96</v>
      </c>
      <c r="G24" s="53" t="s">
        <v>1247</v>
      </c>
      <c r="H24" s="17">
        <v>24077</v>
      </c>
      <c r="I24" s="17" t="s">
        <v>253</v>
      </c>
      <c r="J24" s="17" t="s">
        <v>1034</v>
      </c>
      <c r="K24" s="17" t="s">
        <v>1033</v>
      </c>
      <c r="L24" s="60" t="s">
        <v>494</v>
      </c>
      <c r="M24" s="60" t="s">
        <v>494</v>
      </c>
      <c r="N24" s="60" t="s">
        <v>494</v>
      </c>
      <c r="O24" s="60" t="s">
        <v>494</v>
      </c>
    </row>
    <row r="25" spans="1:15" x14ac:dyDescent="0.15">
      <c r="A25" s="36">
        <f t="shared" si="0"/>
        <v>23</v>
      </c>
      <c r="B25" s="30">
        <v>2011625</v>
      </c>
      <c r="C25" s="53" t="s">
        <v>101</v>
      </c>
      <c r="D25" s="18" t="s">
        <v>388</v>
      </c>
      <c r="E25" s="53" t="s">
        <v>46</v>
      </c>
      <c r="F25" s="53" t="s">
        <v>72</v>
      </c>
      <c r="G25" s="53" t="s">
        <v>1246</v>
      </c>
      <c r="H25" s="17">
        <v>42370</v>
      </c>
      <c r="I25" s="17" t="s">
        <v>877</v>
      </c>
      <c r="J25" s="17" t="s">
        <v>1036</v>
      </c>
      <c r="K25" s="17" t="s">
        <v>1035</v>
      </c>
      <c r="L25" s="60"/>
      <c r="M25" s="60"/>
      <c r="N25" s="60"/>
      <c r="O25" s="60"/>
    </row>
    <row r="26" spans="1:15" x14ac:dyDescent="0.15">
      <c r="A26" s="36">
        <f t="shared" si="0"/>
        <v>24</v>
      </c>
      <c r="B26" s="30">
        <v>2009670</v>
      </c>
      <c r="C26" s="53" t="s">
        <v>93</v>
      </c>
      <c r="D26" s="18" t="s">
        <v>517</v>
      </c>
      <c r="E26" s="53" t="s">
        <v>46</v>
      </c>
      <c r="F26" s="53" t="s">
        <v>46</v>
      </c>
      <c r="G26" s="53" t="s">
        <v>1247</v>
      </c>
      <c r="H26" s="17">
        <v>30133</v>
      </c>
      <c r="I26" s="17" t="s">
        <v>250</v>
      </c>
      <c r="J26" s="17" t="s">
        <v>94</v>
      </c>
      <c r="K26" s="17" t="s">
        <v>1022</v>
      </c>
      <c r="L26" s="60" t="s">
        <v>1248</v>
      </c>
      <c r="M26" s="60" t="s">
        <v>1248</v>
      </c>
      <c r="N26" s="60" t="s">
        <v>1248</v>
      </c>
      <c r="O26" s="60" t="s">
        <v>1248</v>
      </c>
    </row>
    <row r="27" spans="1:15" x14ac:dyDescent="0.15">
      <c r="A27" s="36">
        <f t="shared" si="0"/>
        <v>25</v>
      </c>
      <c r="B27" s="30">
        <v>2008650</v>
      </c>
      <c r="C27" s="53" t="s">
        <v>88</v>
      </c>
      <c r="D27" s="18" t="s">
        <v>378</v>
      </c>
      <c r="E27" s="53" t="s">
        <v>46</v>
      </c>
      <c r="F27" s="53" t="s">
        <v>83</v>
      </c>
      <c r="G27" s="53" t="s">
        <v>1246</v>
      </c>
      <c r="H27" s="17">
        <v>30140</v>
      </c>
      <c r="I27" s="17" t="s">
        <v>1256</v>
      </c>
      <c r="J27" s="17" t="s">
        <v>1014</v>
      </c>
      <c r="K27" s="17" t="s">
        <v>1013</v>
      </c>
      <c r="L27" s="60" t="s">
        <v>494</v>
      </c>
      <c r="M27" s="60" t="s">
        <v>494</v>
      </c>
      <c r="N27" s="60" t="s">
        <v>494</v>
      </c>
      <c r="O27" s="60" t="s">
        <v>494</v>
      </c>
    </row>
    <row r="28" spans="1:15" x14ac:dyDescent="0.15">
      <c r="A28" s="36">
        <f t="shared" si="0"/>
        <v>26</v>
      </c>
      <c r="B28" s="30">
        <v>2008630</v>
      </c>
      <c r="C28" s="53" t="s">
        <v>865</v>
      </c>
      <c r="D28" s="18" t="s">
        <v>373</v>
      </c>
      <c r="E28" s="53" t="s">
        <v>46</v>
      </c>
      <c r="F28" s="53" t="s">
        <v>83</v>
      </c>
      <c r="G28" s="53" t="s">
        <v>1246</v>
      </c>
      <c r="H28" s="17">
        <v>30138</v>
      </c>
      <c r="I28" s="17" t="s">
        <v>866</v>
      </c>
      <c r="J28" s="17" t="s">
        <v>1004</v>
      </c>
      <c r="K28" s="17" t="s">
        <v>1003</v>
      </c>
      <c r="L28" s="60"/>
      <c r="M28" s="60"/>
      <c r="N28" s="60"/>
      <c r="O28" s="60" t="s">
        <v>494</v>
      </c>
    </row>
    <row r="29" spans="1:15" x14ac:dyDescent="0.15">
      <c r="A29" s="36">
        <f t="shared" si="0"/>
        <v>27</v>
      </c>
      <c r="B29" s="30">
        <v>2008635</v>
      </c>
      <c r="C29" s="53" t="s">
        <v>84</v>
      </c>
      <c r="D29" s="18" t="s">
        <v>376</v>
      </c>
      <c r="E29" s="53" t="s">
        <v>46</v>
      </c>
      <c r="F29" s="53" t="s">
        <v>83</v>
      </c>
      <c r="G29" s="53" t="s">
        <v>1246</v>
      </c>
      <c r="H29" s="17">
        <v>30141</v>
      </c>
      <c r="I29" s="17" t="s">
        <v>246</v>
      </c>
      <c r="J29" s="17" t="s">
        <v>1010</v>
      </c>
      <c r="K29" s="17" t="s">
        <v>1009</v>
      </c>
      <c r="L29" s="60"/>
      <c r="M29" s="60"/>
      <c r="N29" s="60"/>
      <c r="O29" s="60"/>
    </row>
    <row r="30" spans="1:15" x14ac:dyDescent="0.15">
      <c r="A30" s="36">
        <f t="shared" si="0"/>
        <v>28</v>
      </c>
      <c r="B30" s="30">
        <v>2008653</v>
      </c>
      <c r="C30" s="53" t="s">
        <v>1299</v>
      </c>
      <c r="D30" s="18" t="s">
        <v>1453</v>
      </c>
      <c r="E30" s="71" t="s">
        <v>46</v>
      </c>
      <c r="F30" s="27" t="s">
        <v>1404</v>
      </c>
      <c r="G30" s="57" t="s">
        <v>1246</v>
      </c>
      <c r="H30" s="37"/>
      <c r="I30" s="37"/>
      <c r="J30" s="37"/>
      <c r="K30" s="37"/>
      <c r="L30" s="61"/>
      <c r="M30" s="61"/>
      <c r="N30" s="61"/>
      <c r="O30" s="61" t="s">
        <v>494</v>
      </c>
    </row>
    <row r="31" spans="1:15" x14ac:dyDescent="0.15">
      <c r="A31" s="36">
        <f t="shared" si="0"/>
        <v>29</v>
      </c>
      <c r="B31" s="30">
        <v>2008645</v>
      </c>
      <c r="C31" s="53" t="s">
        <v>85</v>
      </c>
      <c r="D31" s="18" t="s">
        <v>377</v>
      </c>
      <c r="E31" s="53" t="s">
        <v>46</v>
      </c>
      <c r="F31" s="53" t="s">
        <v>86</v>
      </c>
      <c r="G31" s="53" t="s">
        <v>1246</v>
      </c>
      <c r="H31" s="17">
        <v>30195</v>
      </c>
      <c r="I31" s="17" t="s">
        <v>247</v>
      </c>
      <c r="J31" s="17" t="s">
        <v>1012</v>
      </c>
      <c r="K31" s="17" t="s">
        <v>1011</v>
      </c>
      <c r="L31" s="60"/>
      <c r="M31" s="60"/>
      <c r="N31" s="60"/>
      <c r="O31" s="60"/>
    </row>
    <row r="32" spans="1:15" x14ac:dyDescent="0.15">
      <c r="A32" s="36">
        <f t="shared" si="0"/>
        <v>30</v>
      </c>
      <c r="B32" s="30">
        <v>2010640</v>
      </c>
      <c r="C32" s="53" t="s">
        <v>1299</v>
      </c>
      <c r="D32" s="54" t="s">
        <v>1412</v>
      </c>
      <c r="E32" s="27" t="s">
        <v>46</v>
      </c>
      <c r="F32" s="27" t="s">
        <v>1448</v>
      </c>
      <c r="G32" s="57" t="s">
        <v>1246</v>
      </c>
      <c r="H32" s="37"/>
      <c r="I32" s="37"/>
      <c r="J32" s="37"/>
      <c r="K32" s="37"/>
      <c r="L32" s="61"/>
      <c r="M32" s="61"/>
      <c r="N32" s="61"/>
      <c r="O32" s="61" t="s">
        <v>494</v>
      </c>
    </row>
    <row r="33" spans="1:15" x14ac:dyDescent="0.15">
      <c r="A33" s="36">
        <f t="shared" si="0"/>
        <v>31</v>
      </c>
      <c r="B33" s="30">
        <v>2010650</v>
      </c>
      <c r="C33" s="53" t="s">
        <v>97</v>
      </c>
      <c r="D33" s="18" t="s">
        <v>385</v>
      </c>
      <c r="E33" s="53" t="s">
        <v>46</v>
      </c>
      <c r="F33" s="53" t="s">
        <v>96</v>
      </c>
      <c r="G33" s="53" t="s">
        <v>1247</v>
      </c>
      <c r="H33" s="17">
        <v>15615</v>
      </c>
      <c r="I33" s="17" t="s">
        <v>1258</v>
      </c>
      <c r="J33" s="17" t="s">
        <v>1030</v>
      </c>
      <c r="K33" s="17" t="s">
        <v>1029</v>
      </c>
      <c r="L33" s="60" t="s">
        <v>494</v>
      </c>
      <c r="M33" s="60" t="s">
        <v>494</v>
      </c>
      <c r="N33" s="60" t="s">
        <v>494</v>
      </c>
      <c r="O33" s="60" t="s">
        <v>494</v>
      </c>
    </row>
    <row r="34" spans="1:15" x14ac:dyDescent="0.15">
      <c r="A34" s="36">
        <f t="shared" ref="A34:A65" si="1">ROW()-2</f>
        <v>32</v>
      </c>
      <c r="B34" s="30">
        <v>2010660</v>
      </c>
      <c r="C34" s="53" t="s">
        <v>99</v>
      </c>
      <c r="D34" s="18" t="s">
        <v>386</v>
      </c>
      <c r="E34" s="53" t="s">
        <v>46</v>
      </c>
      <c r="F34" s="53" t="s">
        <v>96</v>
      </c>
      <c r="G34" s="53" t="s">
        <v>1247</v>
      </c>
      <c r="H34" s="17">
        <v>40179</v>
      </c>
      <c r="I34" s="17" t="s">
        <v>1259</v>
      </c>
      <c r="J34" s="17" t="s">
        <v>1032</v>
      </c>
      <c r="K34" s="17" t="s">
        <v>1031</v>
      </c>
      <c r="L34" s="60" t="s">
        <v>494</v>
      </c>
      <c r="M34" s="60" t="s">
        <v>494</v>
      </c>
      <c r="N34" s="60" t="s">
        <v>494</v>
      </c>
      <c r="O34" s="60" t="s">
        <v>494</v>
      </c>
    </row>
    <row r="35" spans="1:15" x14ac:dyDescent="0.15">
      <c r="A35" s="36">
        <f t="shared" si="1"/>
        <v>33</v>
      </c>
      <c r="B35" s="30">
        <v>2010635</v>
      </c>
      <c r="C35" s="53" t="s">
        <v>95</v>
      </c>
      <c r="D35" s="18" t="s">
        <v>384</v>
      </c>
      <c r="E35" s="53" t="s">
        <v>46</v>
      </c>
      <c r="F35" s="53" t="s">
        <v>96</v>
      </c>
      <c r="G35" s="53" t="s">
        <v>1246</v>
      </c>
      <c r="H35" s="17">
        <v>40909</v>
      </c>
      <c r="I35" s="17" t="s">
        <v>1257</v>
      </c>
      <c r="J35" s="17" t="s">
        <v>1028</v>
      </c>
      <c r="K35" s="17" t="s">
        <v>1027</v>
      </c>
      <c r="L35" s="60" t="s">
        <v>494</v>
      </c>
      <c r="M35" s="60" t="s">
        <v>494</v>
      </c>
      <c r="N35" s="60" t="s">
        <v>494</v>
      </c>
      <c r="O35" s="60" t="s">
        <v>494</v>
      </c>
    </row>
    <row r="36" spans="1:15" x14ac:dyDescent="0.15">
      <c r="A36" s="36">
        <f t="shared" si="1"/>
        <v>34</v>
      </c>
      <c r="B36" s="30">
        <v>2020680</v>
      </c>
      <c r="C36" s="53" t="s">
        <v>181</v>
      </c>
      <c r="D36" s="18" t="s">
        <v>452</v>
      </c>
      <c r="E36" s="53" t="s">
        <v>46</v>
      </c>
      <c r="F36" s="53" t="s">
        <v>182</v>
      </c>
      <c r="G36" s="53" t="s">
        <v>1246</v>
      </c>
      <c r="H36" s="17">
        <v>39108</v>
      </c>
      <c r="I36" s="17" t="s">
        <v>302</v>
      </c>
      <c r="J36" s="17" t="s">
        <v>1167</v>
      </c>
      <c r="K36" s="17" t="s">
        <v>1166</v>
      </c>
      <c r="L36" s="60"/>
      <c r="M36" s="60"/>
      <c r="N36" s="60"/>
      <c r="O36" s="60"/>
    </row>
    <row r="37" spans="1:15" x14ac:dyDescent="0.15">
      <c r="A37" s="36">
        <f t="shared" si="1"/>
        <v>35</v>
      </c>
      <c r="B37" s="30">
        <v>2022640</v>
      </c>
      <c r="C37" s="53" t="s">
        <v>192</v>
      </c>
      <c r="D37" s="18" t="s">
        <v>462</v>
      </c>
      <c r="E37" s="53" t="s">
        <v>46</v>
      </c>
      <c r="F37" s="53" t="s">
        <v>46</v>
      </c>
      <c r="G37" s="53" t="s">
        <v>1247</v>
      </c>
      <c r="H37" s="17">
        <v>12785</v>
      </c>
      <c r="I37" s="17" t="s">
        <v>311</v>
      </c>
      <c r="J37" s="17" t="s">
        <v>1186</v>
      </c>
      <c r="K37" s="17" t="s">
        <v>1185</v>
      </c>
      <c r="L37" s="60"/>
      <c r="M37" s="60"/>
      <c r="N37" s="60"/>
      <c r="O37" s="60"/>
    </row>
    <row r="38" spans="1:15" x14ac:dyDescent="0.15">
      <c r="A38" s="36">
        <f t="shared" si="1"/>
        <v>36</v>
      </c>
      <c r="B38" s="30">
        <v>2022685</v>
      </c>
      <c r="C38" s="53" t="s">
        <v>198</v>
      </c>
      <c r="D38" s="18" t="s">
        <v>467</v>
      </c>
      <c r="E38" s="53" t="s">
        <v>199</v>
      </c>
      <c r="F38" s="53" t="s">
        <v>200</v>
      </c>
      <c r="G38" s="53" t="s">
        <v>1246</v>
      </c>
      <c r="H38" s="17">
        <v>39479</v>
      </c>
      <c r="I38" s="17" t="s">
        <v>316</v>
      </c>
      <c r="J38" s="17" t="s">
        <v>1196</v>
      </c>
      <c r="K38" s="17" t="s">
        <v>1195</v>
      </c>
      <c r="L38" s="60"/>
      <c r="M38" s="60"/>
      <c r="N38" s="60"/>
      <c r="O38" s="60"/>
    </row>
    <row r="39" spans="1:15" x14ac:dyDescent="0.15">
      <c r="A39" s="36">
        <f t="shared" si="1"/>
        <v>37</v>
      </c>
      <c r="B39" s="30">
        <v>2011696</v>
      </c>
      <c r="C39" s="53" t="s">
        <v>333</v>
      </c>
      <c r="D39" s="18" t="s">
        <v>395</v>
      </c>
      <c r="E39" s="53" t="s">
        <v>46</v>
      </c>
      <c r="F39" s="53" t="s">
        <v>46</v>
      </c>
      <c r="G39" s="53" t="s">
        <v>1247</v>
      </c>
      <c r="H39" s="17">
        <v>40695</v>
      </c>
      <c r="I39" s="17" t="s">
        <v>882</v>
      </c>
      <c r="J39" s="17" t="s">
        <v>1050</v>
      </c>
      <c r="K39" s="17" t="s">
        <v>1049</v>
      </c>
      <c r="L39" s="60"/>
      <c r="M39" s="60"/>
      <c r="N39" s="60"/>
      <c r="O39" s="60"/>
    </row>
    <row r="40" spans="1:15" x14ac:dyDescent="0.15">
      <c r="A40" s="36">
        <f t="shared" si="1"/>
        <v>38</v>
      </c>
      <c r="B40" s="65">
        <v>2012695</v>
      </c>
      <c r="C40" s="53" t="s">
        <v>124</v>
      </c>
      <c r="D40" s="18" t="s">
        <v>408</v>
      </c>
      <c r="E40" s="53" t="s">
        <v>46</v>
      </c>
      <c r="F40" s="53" t="s">
        <v>109</v>
      </c>
      <c r="G40" s="53" t="s">
        <v>1247</v>
      </c>
      <c r="H40" s="17">
        <v>22828</v>
      </c>
      <c r="I40" s="45" t="s">
        <v>270</v>
      </c>
      <c r="J40" s="17" t="s">
        <v>1075</v>
      </c>
      <c r="K40" s="17" t="s">
        <v>125</v>
      </c>
      <c r="L40" s="60" t="s">
        <v>1248</v>
      </c>
      <c r="M40" s="60" t="s">
        <v>1248</v>
      </c>
      <c r="N40" s="60" t="s">
        <v>1248</v>
      </c>
      <c r="O40" s="60" t="s">
        <v>1248</v>
      </c>
    </row>
    <row r="41" spans="1:15" x14ac:dyDescent="0.15">
      <c r="A41" s="36">
        <f t="shared" si="1"/>
        <v>39</v>
      </c>
      <c r="B41" s="30">
        <v>2014680</v>
      </c>
      <c r="C41" s="53" t="s">
        <v>142</v>
      </c>
      <c r="D41" s="18" t="s">
        <v>888</v>
      </c>
      <c r="E41" s="53" t="s">
        <v>46</v>
      </c>
      <c r="F41" s="53" t="s">
        <v>46</v>
      </c>
      <c r="G41" s="53" t="s">
        <v>1247</v>
      </c>
      <c r="H41" s="17">
        <v>38833</v>
      </c>
      <c r="I41" s="17" t="s">
        <v>281</v>
      </c>
      <c r="J41" s="17" t="s">
        <v>1101</v>
      </c>
      <c r="K41" s="17" t="s">
        <v>1095</v>
      </c>
      <c r="L41" s="60"/>
      <c r="M41" s="60"/>
      <c r="N41" s="60"/>
      <c r="O41" s="60"/>
    </row>
    <row r="42" spans="1:15" x14ac:dyDescent="0.15">
      <c r="A42" s="36">
        <f t="shared" si="1"/>
        <v>40</v>
      </c>
      <c r="B42" s="34">
        <v>2012666</v>
      </c>
      <c r="C42" s="53" t="s">
        <v>1299</v>
      </c>
      <c r="D42" s="27" t="s">
        <v>1302</v>
      </c>
      <c r="E42" s="53" t="s">
        <v>1424</v>
      </c>
      <c r="F42" s="53" t="s">
        <v>109</v>
      </c>
      <c r="G42" s="53" t="s">
        <v>1247</v>
      </c>
      <c r="H42" s="38">
        <v>44470</v>
      </c>
      <c r="I42" s="27" t="s">
        <v>1347</v>
      </c>
      <c r="J42" s="17" t="s">
        <v>1426</v>
      </c>
      <c r="K42" s="17" t="s">
        <v>1425</v>
      </c>
      <c r="L42" s="60"/>
      <c r="M42" s="60"/>
      <c r="N42" s="60"/>
      <c r="O42" s="60"/>
    </row>
    <row r="43" spans="1:15" x14ac:dyDescent="0.15">
      <c r="A43" s="36">
        <f t="shared" si="1"/>
        <v>41</v>
      </c>
      <c r="B43" s="30">
        <v>2014650</v>
      </c>
      <c r="C43" s="53" t="s">
        <v>334</v>
      </c>
      <c r="D43" s="18" t="s">
        <v>419</v>
      </c>
      <c r="E43" s="53" t="s">
        <v>46</v>
      </c>
      <c r="F43" s="53" t="s">
        <v>46</v>
      </c>
      <c r="G43" s="53" t="s">
        <v>1247</v>
      </c>
      <c r="H43" s="17">
        <v>40329</v>
      </c>
      <c r="I43" s="17" t="s">
        <v>886</v>
      </c>
      <c r="J43" s="17" t="s">
        <v>1096</v>
      </c>
      <c r="K43" s="17" t="s">
        <v>1095</v>
      </c>
      <c r="L43" s="60"/>
      <c r="M43" s="60"/>
      <c r="N43" s="60"/>
      <c r="O43" s="60"/>
    </row>
    <row r="44" spans="1:15" x14ac:dyDescent="0.15">
      <c r="A44" s="36">
        <f t="shared" si="1"/>
        <v>42</v>
      </c>
      <c r="B44" s="30">
        <v>2012665</v>
      </c>
      <c r="C44" s="53" t="s">
        <v>120</v>
      </c>
      <c r="D44" s="18" t="s">
        <v>405</v>
      </c>
      <c r="E44" s="53" t="s">
        <v>46</v>
      </c>
      <c r="F44" s="53" t="s">
        <v>121</v>
      </c>
      <c r="G44" s="53" t="s">
        <v>1246</v>
      </c>
      <c r="H44" s="17">
        <v>37294</v>
      </c>
      <c r="I44" s="17" t="s">
        <v>267</v>
      </c>
      <c r="J44" s="17" t="s">
        <v>1070</v>
      </c>
      <c r="K44" s="17" t="s">
        <v>1069</v>
      </c>
      <c r="L44" s="60"/>
      <c r="M44" s="60"/>
      <c r="N44" s="60"/>
      <c r="O44" s="60"/>
    </row>
    <row r="45" spans="1:15" x14ac:dyDescent="0.15">
      <c r="A45" s="36">
        <f t="shared" si="1"/>
        <v>43</v>
      </c>
      <c r="B45" s="30">
        <v>2012696</v>
      </c>
      <c r="C45" s="53" t="s">
        <v>126</v>
      </c>
      <c r="D45" s="18" t="s">
        <v>409</v>
      </c>
      <c r="E45" s="53" t="s">
        <v>46</v>
      </c>
      <c r="F45" s="53" t="s">
        <v>46</v>
      </c>
      <c r="G45" s="53" t="s">
        <v>1247</v>
      </c>
      <c r="H45" s="17">
        <v>38832</v>
      </c>
      <c r="I45" s="17" t="s">
        <v>271</v>
      </c>
      <c r="J45" s="17" t="s">
        <v>1077</v>
      </c>
      <c r="K45" s="17" t="s">
        <v>1076</v>
      </c>
      <c r="L45" s="60"/>
      <c r="M45" s="60"/>
      <c r="N45" s="60"/>
      <c r="O45" s="60"/>
    </row>
    <row r="46" spans="1:15" x14ac:dyDescent="0.15">
      <c r="A46" s="36">
        <f t="shared" si="1"/>
        <v>44</v>
      </c>
      <c r="B46" s="30">
        <v>2014620</v>
      </c>
      <c r="C46" s="53" t="s">
        <v>139</v>
      </c>
      <c r="D46" s="18" t="s">
        <v>417</v>
      </c>
      <c r="E46" s="53" t="s">
        <v>46</v>
      </c>
      <c r="F46" s="53" t="s">
        <v>46</v>
      </c>
      <c r="G46" s="53" t="s">
        <v>1247</v>
      </c>
      <c r="H46" s="17">
        <v>34790</v>
      </c>
      <c r="I46" s="17" t="s">
        <v>278</v>
      </c>
      <c r="J46" s="17" t="s">
        <v>1092</v>
      </c>
      <c r="K46" s="17" t="s">
        <v>1091</v>
      </c>
      <c r="L46" s="60"/>
      <c r="M46" s="60"/>
      <c r="N46" s="60"/>
      <c r="O46" s="60"/>
    </row>
    <row r="47" spans="1:15" x14ac:dyDescent="0.15">
      <c r="A47" s="36">
        <f t="shared" si="1"/>
        <v>45</v>
      </c>
      <c r="B47" s="30">
        <v>2012670</v>
      </c>
      <c r="C47" s="53" t="s">
        <v>122</v>
      </c>
      <c r="D47" s="18" t="s">
        <v>406</v>
      </c>
      <c r="E47" s="53" t="s">
        <v>46</v>
      </c>
      <c r="F47" s="53" t="s">
        <v>109</v>
      </c>
      <c r="G47" s="53" t="s">
        <v>1247</v>
      </c>
      <c r="H47" s="17">
        <v>38742</v>
      </c>
      <c r="I47" s="17" t="s">
        <v>1263</v>
      </c>
      <c r="J47" s="17" t="s">
        <v>1072</v>
      </c>
      <c r="K47" s="17" t="s">
        <v>1071</v>
      </c>
      <c r="L47" s="60"/>
      <c r="M47" s="60"/>
      <c r="N47" s="60"/>
      <c r="O47" s="60"/>
    </row>
    <row r="48" spans="1:15" x14ac:dyDescent="0.15">
      <c r="A48" s="36">
        <f t="shared" si="1"/>
        <v>46</v>
      </c>
      <c r="B48" s="30">
        <v>2012652</v>
      </c>
      <c r="C48" s="53" t="s">
        <v>117</v>
      </c>
      <c r="D48" s="18" t="s">
        <v>403</v>
      </c>
      <c r="E48" s="53" t="s">
        <v>46</v>
      </c>
      <c r="F48" s="53" t="s">
        <v>86</v>
      </c>
      <c r="G48" s="53" t="s">
        <v>1246</v>
      </c>
      <c r="H48" s="17">
        <v>37294</v>
      </c>
      <c r="I48" s="17" t="s">
        <v>1262</v>
      </c>
      <c r="J48" s="17" t="s">
        <v>1064</v>
      </c>
      <c r="K48" s="17" t="s">
        <v>1063</v>
      </c>
      <c r="L48" s="60"/>
      <c r="M48" s="60"/>
      <c r="N48" s="60"/>
      <c r="O48" s="60"/>
    </row>
    <row r="49" spans="1:15" x14ac:dyDescent="0.15">
      <c r="A49" s="36">
        <f t="shared" si="1"/>
        <v>47</v>
      </c>
      <c r="B49" s="30">
        <v>2012690</v>
      </c>
      <c r="C49" s="53" t="s">
        <v>123</v>
      </c>
      <c r="D49" s="18" t="s">
        <v>407</v>
      </c>
      <c r="E49" s="53" t="s">
        <v>46</v>
      </c>
      <c r="F49" s="53" t="s">
        <v>44</v>
      </c>
      <c r="G49" s="53" t="s">
        <v>1246</v>
      </c>
      <c r="H49" s="17">
        <v>37357</v>
      </c>
      <c r="I49" s="17" t="s">
        <v>269</v>
      </c>
      <c r="J49" s="17" t="s">
        <v>1074</v>
      </c>
      <c r="K49" s="17" t="s">
        <v>1073</v>
      </c>
      <c r="L49" s="60"/>
      <c r="M49" s="60"/>
      <c r="N49" s="60"/>
      <c r="O49" s="60"/>
    </row>
    <row r="50" spans="1:15" x14ac:dyDescent="0.15">
      <c r="A50" s="36">
        <f t="shared" si="1"/>
        <v>48</v>
      </c>
      <c r="B50" s="30">
        <v>2014660</v>
      </c>
      <c r="C50" s="53" t="s">
        <v>141</v>
      </c>
      <c r="D50" s="18" t="s">
        <v>421</v>
      </c>
      <c r="E50" s="53" t="s">
        <v>46</v>
      </c>
      <c r="F50" s="53" t="s">
        <v>46</v>
      </c>
      <c r="G50" s="53" t="s">
        <v>1247</v>
      </c>
      <c r="H50" s="17">
        <v>6362</v>
      </c>
      <c r="I50" s="17" t="s">
        <v>280</v>
      </c>
      <c r="J50" s="17" t="s">
        <v>1100</v>
      </c>
      <c r="K50" s="17" t="s">
        <v>1099</v>
      </c>
      <c r="L50" s="60" t="s">
        <v>1248</v>
      </c>
      <c r="M50" s="60" t="s">
        <v>1248</v>
      </c>
      <c r="N50" s="60" t="s">
        <v>1248</v>
      </c>
      <c r="O50" s="60" t="s">
        <v>1248</v>
      </c>
    </row>
    <row r="51" spans="1:15" x14ac:dyDescent="0.15">
      <c r="A51" s="36">
        <f t="shared" si="1"/>
        <v>49</v>
      </c>
      <c r="B51" s="30">
        <v>2012660</v>
      </c>
      <c r="C51" s="53" t="s">
        <v>119</v>
      </c>
      <c r="D51" s="18" t="s">
        <v>884</v>
      </c>
      <c r="E51" s="53" t="s">
        <v>46</v>
      </c>
      <c r="F51" s="53" t="s">
        <v>109</v>
      </c>
      <c r="G51" s="53" t="s">
        <v>1247</v>
      </c>
      <c r="H51" s="17">
        <v>8553</v>
      </c>
      <c r="I51" s="17" t="s">
        <v>266</v>
      </c>
      <c r="J51" s="17" t="s">
        <v>1068</v>
      </c>
      <c r="K51" s="17" t="s">
        <v>1067</v>
      </c>
      <c r="L51" s="60"/>
      <c r="M51" s="60" t="s">
        <v>494</v>
      </c>
      <c r="N51" s="60" t="s">
        <v>494</v>
      </c>
      <c r="O51" s="60" t="s">
        <v>1248</v>
      </c>
    </row>
    <row r="52" spans="1:15" x14ac:dyDescent="0.15">
      <c r="A52" s="36">
        <f t="shared" si="1"/>
        <v>50</v>
      </c>
      <c r="B52" s="30">
        <v>2012653</v>
      </c>
      <c r="C52" s="53" t="s">
        <v>118</v>
      </c>
      <c r="D52" s="18" t="s">
        <v>404</v>
      </c>
      <c r="E52" s="53" t="s">
        <v>46</v>
      </c>
      <c r="F52" s="53" t="s">
        <v>109</v>
      </c>
      <c r="G52" s="53" t="s">
        <v>1247</v>
      </c>
      <c r="H52" s="17">
        <v>40544</v>
      </c>
      <c r="I52" s="17" t="s">
        <v>265</v>
      </c>
      <c r="J52" s="17" t="s">
        <v>1066</v>
      </c>
      <c r="K52" s="17" t="s">
        <v>1065</v>
      </c>
      <c r="L52" s="60" t="s">
        <v>494</v>
      </c>
      <c r="M52" s="60" t="s">
        <v>494</v>
      </c>
      <c r="N52" s="60" t="s">
        <v>494</v>
      </c>
      <c r="O52" s="60" t="s">
        <v>494</v>
      </c>
    </row>
    <row r="53" spans="1:15" x14ac:dyDescent="0.15">
      <c r="A53" s="36">
        <f t="shared" si="1"/>
        <v>51</v>
      </c>
      <c r="B53" s="30">
        <v>2005640</v>
      </c>
      <c r="C53" s="53" t="s">
        <v>77</v>
      </c>
      <c r="D53" s="18" t="s">
        <v>360</v>
      </c>
      <c r="E53" s="53" t="s">
        <v>46</v>
      </c>
      <c r="F53" s="53" t="s">
        <v>78</v>
      </c>
      <c r="G53" s="53" t="s">
        <v>1246</v>
      </c>
      <c r="H53" s="17">
        <v>40909</v>
      </c>
      <c r="I53" s="17" t="s">
        <v>244</v>
      </c>
      <c r="J53" s="17" t="s">
        <v>976</v>
      </c>
      <c r="K53" s="17" t="s">
        <v>975</v>
      </c>
      <c r="L53" s="60" t="s">
        <v>494</v>
      </c>
      <c r="M53" s="60" t="s">
        <v>494</v>
      </c>
      <c r="N53" s="60" t="s">
        <v>494</v>
      </c>
      <c r="O53" s="60" t="s">
        <v>494</v>
      </c>
    </row>
    <row r="54" spans="1:15" x14ac:dyDescent="0.15">
      <c r="A54" s="36">
        <f t="shared" si="1"/>
        <v>52</v>
      </c>
      <c r="B54" s="30">
        <v>2005660</v>
      </c>
      <c r="C54" s="53" t="s">
        <v>79</v>
      </c>
      <c r="D54" s="18" t="s">
        <v>361</v>
      </c>
      <c r="E54" s="53" t="s">
        <v>46</v>
      </c>
      <c r="F54" s="53" t="s">
        <v>78</v>
      </c>
      <c r="G54" s="53" t="s">
        <v>1246</v>
      </c>
      <c r="H54" s="17">
        <v>24077</v>
      </c>
      <c r="I54" s="17" t="s">
        <v>843</v>
      </c>
      <c r="J54" s="17" t="s">
        <v>980</v>
      </c>
      <c r="K54" s="17" t="s">
        <v>979</v>
      </c>
      <c r="L54" s="60" t="s">
        <v>494</v>
      </c>
      <c r="M54" s="60" t="s">
        <v>494</v>
      </c>
      <c r="N54" s="60" t="s">
        <v>494</v>
      </c>
      <c r="O54" s="60" t="s">
        <v>494</v>
      </c>
    </row>
    <row r="55" spans="1:15" x14ac:dyDescent="0.15">
      <c r="A55" s="36">
        <f t="shared" si="1"/>
        <v>53</v>
      </c>
      <c r="B55" s="30">
        <v>2007620</v>
      </c>
      <c r="C55" s="53" t="s">
        <v>854</v>
      </c>
      <c r="D55" s="18" t="s">
        <v>367</v>
      </c>
      <c r="E55" s="53" t="s">
        <v>46</v>
      </c>
      <c r="F55" s="53" t="s">
        <v>46</v>
      </c>
      <c r="G55" s="53" t="s">
        <v>1247</v>
      </c>
      <c r="H55" s="17">
        <v>39108</v>
      </c>
      <c r="I55" s="17" t="s">
        <v>855</v>
      </c>
      <c r="J55" s="17" t="s">
        <v>992</v>
      </c>
      <c r="K55" s="17" t="s">
        <v>991</v>
      </c>
      <c r="L55" s="60"/>
      <c r="M55" s="60"/>
      <c r="N55" s="60"/>
      <c r="O55" s="60"/>
    </row>
    <row r="56" spans="1:15" x14ac:dyDescent="0.15">
      <c r="A56" s="36">
        <f t="shared" si="1"/>
        <v>54</v>
      </c>
      <c r="B56" s="30">
        <v>2005643</v>
      </c>
      <c r="C56" s="53" t="s">
        <v>1299</v>
      </c>
      <c r="D56" s="18" t="s">
        <v>1410</v>
      </c>
      <c r="E56" s="27" t="s">
        <v>1424</v>
      </c>
      <c r="F56" s="27" t="s">
        <v>1401</v>
      </c>
      <c r="G56" s="57" t="s">
        <v>1246</v>
      </c>
      <c r="H56" s="37"/>
      <c r="I56" s="37"/>
      <c r="J56" s="37"/>
      <c r="K56" s="37"/>
      <c r="L56" s="61"/>
      <c r="M56" s="61"/>
      <c r="N56" s="61"/>
      <c r="O56" s="61" t="s">
        <v>494</v>
      </c>
    </row>
    <row r="57" spans="1:15" x14ac:dyDescent="0.15">
      <c r="A57" s="36">
        <f t="shared" si="1"/>
        <v>55</v>
      </c>
      <c r="B57" s="30">
        <v>2005650</v>
      </c>
      <c r="C57" s="53" t="s">
        <v>1309</v>
      </c>
      <c r="D57" s="18" t="s">
        <v>492</v>
      </c>
      <c r="E57" s="53" t="s">
        <v>46</v>
      </c>
      <c r="F57" s="53" t="s">
        <v>78</v>
      </c>
      <c r="G57" s="53" t="s">
        <v>1246</v>
      </c>
      <c r="H57" s="17">
        <v>35425</v>
      </c>
      <c r="I57" s="17" t="s">
        <v>1250</v>
      </c>
      <c r="J57" s="17" t="s">
        <v>1251</v>
      </c>
      <c r="K57" s="17" t="s">
        <v>1252</v>
      </c>
      <c r="L57" s="60" t="s">
        <v>494</v>
      </c>
      <c r="M57" s="60" t="s">
        <v>494</v>
      </c>
      <c r="N57" s="60" t="s">
        <v>494</v>
      </c>
      <c r="O57" s="60" t="s">
        <v>494</v>
      </c>
    </row>
    <row r="58" spans="1:15" x14ac:dyDescent="0.15">
      <c r="A58" s="36">
        <f t="shared" si="1"/>
        <v>56</v>
      </c>
      <c r="B58" s="30">
        <v>2007640</v>
      </c>
      <c r="C58" s="53" t="s">
        <v>856</v>
      </c>
      <c r="D58" s="18" t="s">
        <v>368</v>
      </c>
      <c r="E58" s="53" t="s">
        <v>46</v>
      </c>
      <c r="F58" s="53" t="s">
        <v>46</v>
      </c>
      <c r="G58" s="53" t="s">
        <v>1247</v>
      </c>
      <c r="H58" s="17">
        <v>22828</v>
      </c>
      <c r="I58" s="17" t="s">
        <v>1253</v>
      </c>
      <c r="J58" s="17" t="s">
        <v>1254</v>
      </c>
      <c r="K58" s="17" t="s">
        <v>514</v>
      </c>
      <c r="L58" s="60"/>
      <c r="M58" s="60"/>
      <c r="N58" s="60"/>
      <c r="O58" s="60"/>
    </row>
    <row r="59" spans="1:15" x14ac:dyDescent="0.15">
      <c r="A59" s="36">
        <f t="shared" si="1"/>
        <v>57</v>
      </c>
      <c r="B59" s="30">
        <v>2021670</v>
      </c>
      <c r="C59" s="53" t="s">
        <v>186</v>
      </c>
      <c r="D59" s="18" t="s">
        <v>456</v>
      </c>
      <c r="E59" s="53" t="s">
        <v>46</v>
      </c>
      <c r="F59" s="53" t="s">
        <v>187</v>
      </c>
      <c r="G59" s="53" t="s">
        <v>1246</v>
      </c>
      <c r="H59" s="17">
        <v>41640</v>
      </c>
      <c r="I59" s="17" t="s">
        <v>305</v>
      </c>
      <c r="J59" s="17" t="s">
        <v>1175</v>
      </c>
      <c r="K59" s="17" t="s">
        <v>1174</v>
      </c>
      <c r="L59" s="60" t="s">
        <v>494</v>
      </c>
      <c r="M59" s="60" t="s">
        <v>494</v>
      </c>
      <c r="N59" s="60" t="s">
        <v>494</v>
      </c>
      <c r="O59" s="60" t="s">
        <v>494</v>
      </c>
    </row>
    <row r="60" spans="1:15" x14ac:dyDescent="0.15">
      <c r="A60" s="36">
        <f t="shared" si="1"/>
        <v>58</v>
      </c>
      <c r="B60" s="30">
        <v>2021677</v>
      </c>
      <c r="C60" s="53" t="s">
        <v>188</v>
      </c>
      <c r="D60" s="18" t="s">
        <v>458</v>
      </c>
      <c r="E60" s="53" t="s">
        <v>46</v>
      </c>
      <c r="F60" s="53" t="s">
        <v>185</v>
      </c>
      <c r="G60" s="53" t="s">
        <v>1247</v>
      </c>
      <c r="H60" s="17">
        <v>39108</v>
      </c>
      <c r="I60" s="17" t="s">
        <v>1278</v>
      </c>
      <c r="J60" s="17" t="s">
        <v>1178</v>
      </c>
      <c r="K60" s="17" t="s">
        <v>1177</v>
      </c>
      <c r="L60" s="60"/>
      <c r="M60" s="60"/>
      <c r="N60" s="60"/>
      <c r="O60" s="60"/>
    </row>
    <row r="61" spans="1:15" x14ac:dyDescent="0.15">
      <c r="A61" s="36">
        <f t="shared" si="1"/>
        <v>59</v>
      </c>
      <c r="B61" s="30">
        <v>2021685</v>
      </c>
      <c r="C61" s="53" t="s">
        <v>189</v>
      </c>
      <c r="D61" s="18" t="s">
        <v>459</v>
      </c>
      <c r="E61" s="53" t="s">
        <v>46</v>
      </c>
      <c r="F61" s="53" t="s">
        <v>185</v>
      </c>
      <c r="G61" s="53" t="s">
        <v>1247</v>
      </c>
      <c r="H61" s="17">
        <v>32143</v>
      </c>
      <c r="I61" s="17" t="s">
        <v>1279</v>
      </c>
      <c r="J61" s="17" t="s">
        <v>1180</v>
      </c>
      <c r="K61" s="17" t="s">
        <v>1179</v>
      </c>
      <c r="L61" s="60"/>
      <c r="M61" s="60"/>
      <c r="N61" s="60"/>
      <c r="O61" s="60"/>
    </row>
    <row r="62" spans="1:15" x14ac:dyDescent="0.15">
      <c r="A62" s="36">
        <f t="shared" si="1"/>
        <v>60</v>
      </c>
      <c r="B62" s="30">
        <v>2022610</v>
      </c>
      <c r="C62" s="53" t="s">
        <v>191</v>
      </c>
      <c r="D62" s="18" t="s">
        <v>461</v>
      </c>
      <c r="E62" s="53" t="s">
        <v>46</v>
      </c>
      <c r="F62" s="53" t="s">
        <v>46</v>
      </c>
      <c r="G62" s="53" t="s">
        <v>1247</v>
      </c>
      <c r="H62" s="17">
        <v>20302</v>
      </c>
      <c r="I62" s="17" t="s">
        <v>310</v>
      </c>
      <c r="J62" s="17" t="s">
        <v>1184</v>
      </c>
      <c r="K62" s="17" t="s">
        <v>1183</v>
      </c>
      <c r="L62" s="60" t="s">
        <v>1248</v>
      </c>
      <c r="M62" s="60" t="s">
        <v>1248</v>
      </c>
      <c r="N62" s="60" t="s">
        <v>1248</v>
      </c>
      <c r="O62" s="60" t="s">
        <v>1248</v>
      </c>
    </row>
    <row r="63" spans="1:15" x14ac:dyDescent="0.15">
      <c r="A63" s="36">
        <f t="shared" si="1"/>
        <v>61</v>
      </c>
      <c r="B63" s="30">
        <v>2021690</v>
      </c>
      <c r="C63" s="53" t="s">
        <v>190</v>
      </c>
      <c r="D63" s="18" t="s">
        <v>460</v>
      </c>
      <c r="E63" s="53" t="s">
        <v>46</v>
      </c>
      <c r="F63" s="53" t="s">
        <v>185</v>
      </c>
      <c r="G63" s="53" t="s">
        <v>1247</v>
      </c>
      <c r="H63" s="17">
        <v>38742</v>
      </c>
      <c r="I63" s="17" t="s">
        <v>1280</v>
      </c>
      <c r="J63" s="17" t="s">
        <v>1182</v>
      </c>
      <c r="K63" s="17" t="s">
        <v>1181</v>
      </c>
      <c r="L63" s="60"/>
      <c r="M63" s="60"/>
      <c r="N63" s="60"/>
      <c r="O63" s="60"/>
    </row>
    <row r="64" spans="1:15" x14ac:dyDescent="0.15">
      <c r="A64" s="36">
        <f t="shared" si="1"/>
        <v>62</v>
      </c>
      <c r="B64" s="30">
        <v>2021665</v>
      </c>
      <c r="C64" s="53" t="s">
        <v>184</v>
      </c>
      <c r="D64" s="18" t="s">
        <v>455</v>
      </c>
      <c r="E64" s="53" t="s">
        <v>46</v>
      </c>
      <c r="F64" s="53" t="s">
        <v>185</v>
      </c>
      <c r="G64" s="53" t="s">
        <v>1247</v>
      </c>
      <c r="H64" s="17">
        <v>40544</v>
      </c>
      <c r="I64" s="17" t="s">
        <v>1276</v>
      </c>
      <c r="J64" s="17" t="s">
        <v>1173</v>
      </c>
      <c r="K64" s="17" t="s">
        <v>1172</v>
      </c>
      <c r="L64" s="60" t="s">
        <v>494</v>
      </c>
      <c r="M64" s="60" t="s">
        <v>494</v>
      </c>
      <c r="N64" s="60" t="s">
        <v>494</v>
      </c>
      <c r="O64" s="60" t="s">
        <v>494</v>
      </c>
    </row>
    <row r="65" spans="1:15" x14ac:dyDescent="0.15">
      <c r="A65" s="36">
        <f t="shared" si="1"/>
        <v>63</v>
      </c>
      <c r="B65" s="30">
        <v>2021675</v>
      </c>
      <c r="C65" s="53" t="s">
        <v>912</v>
      </c>
      <c r="D65" s="18" t="s">
        <v>457</v>
      </c>
      <c r="E65" s="53" t="s">
        <v>46</v>
      </c>
      <c r="F65" s="53" t="s">
        <v>185</v>
      </c>
      <c r="G65" s="53" t="s">
        <v>1247</v>
      </c>
      <c r="H65" s="17">
        <v>6242</v>
      </c>
      <c r="I65" s="17" t="s">
        <v>1277</v>
      </c>
      <c r="J65" s="17" t="s">
        <v>1176</v>
      </c>
      <c r="K65" s="17" t="s">
        <v>1061</v>
      </c>
      <c r="L65" s="60" t="s">
        <v>494</v>
      </c>
      <c r="M65" s="60" t="s">
        <v>494</v>
      </c>
      <c r="N65" s="60" t="s">
        <v>494</v>
      </c>
      <c r="O65" s="60" t="s">
        <v>494</v>
      </c>
    </row>
    <row r="66" spans="1:15" x14ac:dyDescent="0.15">
      <c r="A66" s="36">
        <f t="shared" ref="A66:A97" si="2">ROW()-2</f>
        <v>64</v>
      </c>
      <c r="B66" s="30">
        <v>2020651</v>
      </c>
      <c r="C66" s="53" t="s">
        <v>178</v>
      </c>
      <c r="D66" s="18" t="s">
        <v>450</v>
      </c>
      <c r="E66" s="53" t="s">
        <v>46</v>
      </c>
      <c r="F66" s="53" t="s">
        <v>170</v>
      </c>
      <c r="G66" s="53" t="s">
        <v>1246</v>
      </c>
      <c r="H66" s="17">
        <v>40909</v>
      </c>
      <c r="I66" s="17" t="s">
        <v>300</v>
      </c>
      <c r="J66" s="17" t="s">
        <v>1163</v>
      </c>
      <c r="K66" s="17" t="s">
        <v>1162</v>
      </c>
      <c r="L66" s="60"/>
      <c r="M66" s="60"/>
      <c r="N66" s="60"/>
      <c r="O66" s="60" t="s">
        <v>494</v>
      </c>
    </row>
    <row r="67" spans="1:15" x14ac:dyDescent="0.15">
      <c r="A67" s="36">
        <f t="shared" si="2"/>
        <v>65</v>
      </c>
      <c r="B67" s="30">
        <v>2020603</v>
      </c>
      <c r="C67" s="53" t="s">
        <v>169</v>
      </c>
      <c r="D67" s="18" t="s">
        <v>443</v>
      </c>
      <c r="E67" s="53" t="s">
        <v>46</v>
      </c>
      <c r="F67" s="53" t="s">
        <v>170</v>
      </c>
      <c r="G67" s="53" t="s">
        <v>1246</v>
      </c>
      <c r="H67" s="17">
        <v>39479</v>
      </c>
      <c r="I67" s="17" t="s">
        <v>295</v>
      </c>
      <c r="J67" s="17" t="s">
        <v>1152</v>
      </c>
      <c r="K67" s="17" t="s">
        <v>1151</v>
      </c>
      <c r="L67" s="60"/>
      <c r="M67" s="60"/>
      <c r="N67" s="60"/>
      <c r="O67" s="60"/>
    </row>
    <row r="68" spans="1:15" x14ac:dyDescent="0.15">
      <c r="A68" s="36">
        <f t="shared" si="2"/>
        <v>66</v>
      </c>
      <c r="B68" s="30">
        <v>2001625</v>
      </c>
      <c r="C68" s="53" t="s">
        <v>48</v>
      </c>
      <c r="D68" s="18" t="s">
        <v>343</v>
      </c>
      <c r="E68" s="53" t="s">
        <v>46</v>
      </c>
      <c r="F68" s="53" t="s">
        <v>49</v>
      </c>
      <c r="G68" s="53" t="s">
        <v>1246</v>
      </c>
      <c r="H68" s="17">
        <v>42370</v>
      </c>
      <c r="I68" s="17" t="s">
        <v>840</v>
      </c>
      <c r="J68" s="17" t="s">
        <v>938</v>
      </c>
      <c r="K68" s="17" t="s">
        <v>937</v>
      </c>
      <c r="L68" s="60"/>
      <c r="M68" s="60"/>
      <c r="N68" s="60" t="s">
        <v>494</v>
      </c>
      <c r="O68" s="60" t="s">
        <v>494</v>
      </c>
    </row>
    <row r="69" spans="1:15" x14ac:dyDescent="0.15">
      <c r="A69" s="36">
        <f t="shared" si="2"/>
        <v>67</v>
      </c>
      <c r="B69" s="30">
        <v>2001615</v>
      </c>
      <c r="C69" s="53" t="s">
        <v>340</v>
      </c>
      <c r="D69" s="18" t="s">
        <v>838</v>
      </c>
      <c r="E69" s="53" t="s">
        <v>46</v>
      </c>
      <c r="F69" s="53" t="s">
        <v>46</v>
      </c>
      <c r="G69" s="53" t="s">
        <v>1247</v>
      </c>
      <c r="H69" s="17">
        <v>40603</v>
      </c>
      <c r="I69" s="17" t="s">
        <v>839</v>
      </c>
      <c r="J69" s="17" t="s">
        <v>936</v>
      </c>
      <c r="K69" s="17" t="s">
        <v>935</v>
      </c>
      <c r="L69" s="60" t="s">
        <v>494</v>
      </c>
      <c r="M69" s="60" t="s">
        <v>494</v>
      </c>
      <c r="N69" s="60" t="s">
        <v>494</v>
      </c>
      <c r="O69" s="60" t="s">
        <v>494</v>
      </c>
    </row>
    <row r="70" spans="1:15" x14ac:dyDescent="0.15">
      <c r="A70" s="36">
        <f t="shared" si="2"/>
        <v>68</v>
      </c>
      <c r="B70" s="30">
        <v>2001655</v>
      </c>
      <c r="C70" s="53" t="s">
        <v>53</v>
      </c>
      <c r="D70" s="18" t="s">
        <v>345</v>
      </c>
      <c r="E70" s="53" t="s">
        <v>46</v>
      </c>
      <c r="F70" s="53" t="s">
        <v>54</v>
      </c>
      <c r="G70" s="53" t="s">
        <v>1246</v>
      </c>
      <c r="H70" s="17">
        <v>40179</v>
      </c>
      <c r="I70" s="17" t="s">
        <v>1298</v>
      </c>
      <c r="J70" s="17" t="s">
        <v>942</v>
      </c>
      <c r="K70" s="17" t="s">
        <v>941</v>
      </c>
      <c r="L70" s="60"/>
      <c r="M70" s="60"/>
      <c r="N70" s="60"/>
      <c r="O70" s="60"/>
    </row>
    <row r="71" spans="1:15" x14ac:dyDescent="0.15">
      <c r="A71" s="36">
        <f t="shared" si="2"/>
        <v>69</v>
      </c>
      <c r="B71" s="30">
        <v>2004605</v>
      </c>
      <c r="C71" s="53" t="s">
        <v>64</v>
      </c>
      <c r="D71" s="18" t="s">
        <v>352</v>
      </c>
      <c r="E71" s="53" t="s">
        <v>46</v>
      </c>
      <c r="F71" s="53" t="s">
        <v>65</v>
      </c>
      <c r="G71" s="53" t="s">
        <v>1247</v>
      </c>
      <c r="H71" s="17">
        <v>39814</v>
      </c>
      <c r="I71" s="17" t="s">
        <v>236</v>
      </c>
      <c r="J71" s="17" t="s">
        <v>958</v>
      </c>
      <c r="K71" s="17" t="s">
        <v>957</v>
      </c>
      <c r="L71" s="60" t="s">
        <v>494</v>
      </c>
      <c r="M71" s="60" t="s">
        <v>494</v>
      </c>
      <c r="N71" s="60" t="s">
        <v>494</v>
      </c>
      <c r="O71" s="60" t="s">
        <v>494</v>
      </c>
    </row>
    <row r="72" spans="1:15" x14ac:dyDescent="0.15">
      <c r="A72" s="36">
        <f t="shared" si="2"/>
        <v>70</v>
      </c>
      <c r="B72" s="30">
        <v>2001628</v>
      </c>
      <c r="C72" s="53" t="s">
        <v>51</v>
      </c>
      <c r="D72" s="18" t="s">
        <v>344</v>
      </c>
      <c r="E72" s="53" t="s">
        <v>46</v>
      </c>
      <c r="F72" s="53" t="s">
        <v>46</v>
      </c>
      <c r="G72" s="53" t="s">
        <v>1247</v>
      </c>
      <c r="H72" s="17">
        <v>40179</v>
      </c>
      <c r="I72" s="17" t="s">
        <v>503</v>
      </c>
      <c r="J72" s="17" t="s">
        <v>940</v>
      </c>
      <c r="K72" s="17" t="s">
        <v>939</v>
      </c>
      <c r="L72" s="60" t="s">
        <v>494</v>
      </c>
      <c r="M72" s="60" t="s">
        <v>494</v>
      </c>
      <c r="N72" s="60" t="s">
        <v>494</v>
      </c>
      <c r="O72" s="60" t="s">
        <v>494</v>
      </c>
    </row>
    <row r="73" spans="1:15" x14ac:dyDescent="0.15">
      <c r="A73" s="36">
        <f t="shared" si="2"/>
        <v>71</v>
      </c>
      <c r="B73" s="30">
        <v>2012645</v>
      </c>
      <c r="C73" s="53" t="s">
        <v>113</v>
      </c>
      <c r="D73" s="18" t="s">
        <v>400</v>
      </c>
      <c r="E73" s="53" t="s">
        <v>46</v>
      </c>
      <c r="F73" s="53" t="s">
        <v>46</v>
      </c>
      <c r="G73" s="53" t="s">
        <v>1247</v>
      </c>
      <c r="H73" s="17">
        <v>22828</v>
      </c>
      <c r="I73" s="17" t="s">
        <v>261</v>
      </c>
      <c r="J73" s="17" t="s">
        <v>944</v>
      </c>
      <c r="K73" s="17" t="s">
        <v>943</v>
      </c>
      <c r="L73" s="60"/>
      <c r="M73" s="60"/>
      <c r="N73" s="60"/>
      <c r="O73" s="60" t="s">
        <v>494</v>
      </c>
    </row>
    <row r="74" spans="1:15" x14ac:dyDescent="0.15">
      <c r="A74" s="36">
        <f t="shared" si="2"/>
        <v>72</v>
      </c>
      <c r="B74" s="33">
        <v>2022690</v>
      </c>
      <c r="C74" s="53" t="s">
        <v>1299</v>
      </c>
      <c r="D74" s="20" t="s">
        <v>1332</v>
      </c>
      <c r="E74" s="53" t="s">
        <v>1422</v>
      </c>
      <c r="F74" s="53" t="s">
        <v>1422</v>
      </c>
      <c r="G74" s="53" t="s">
        <v>1416</v>
      </c>
      <c r="H74" s="21">
        <v>44671</v>
      </c>
      <c r="I74" s="45" t="s">
        <v>1431</v>
      </c>
      <c r="J74" s="17" t="s">
        <v>1430</v>
      </c>
      <c r="K74" s="17" t="s">
        <v>1429</v>
      </c>
      <c r="L74" s="60"/>
      <c r="M74" s="60"/>
      <c r="N74" s="60"/>
      <c r="O74" s="60"/>
    </row>
    <row r="75" spans="1:15" x14ac:dyDescent="0.15">
      <c r="A75" s="36">
        <f t="shared" si="2"/>
        <v>73</v>
      </c>
      <c r="B75" s="30">
        <v>2022680</v>
      </c>
      <c r="C75" s="53" t="s">
        <v>197</v>
      </c>
      <c r="D75" s="18" t="s">
        <v>466</v>
      </c>
      <c r="E75" s="53" t="s">
        <v>46</v>
      </c>
      <c r="F75" s="53" t="s">
        <v>46</v>
      </c>
      <c r="G75" s="53" t="s">
        <v>1247</v>
      </c>
      <c r="H75" s="17">
        <v>10014</v>
      </c>
      <c r="I75" s="17" t="s">
        <v>315</v>
      </c>
      <c r="J75" s="17" t="s">
        <v>1194</v>
      </c>
      <c r="K75" s="17" t="s">
        <v>1193</v>
      </c>
      <c r="L75" s="60" t="s">
        <v>1248</v>
      </c>
      <c r="M75" s="60" t="s">
        <v>1248</v>
      </c>
      <c r="N75" s="60" t="s">
        <v>1248</v>
      </c>
      <c r="O75" s="60" t="s">
        <v>1248</v>
      </c>
    </row>
    <row r="76" spans="1:15" x14ac:dyDescent="0.15">
      <c r="A76" s="36">
        <f t="shared" si="2"/>
        <v>74</v>
      </c>
      <c r="B76" s="34">
        <v>2302690</v>
      </c>
      <c r="C76" s="53" t="s">
        <v>1299</v>
      </c>
      <c r="D76" s="27" t="s">
        <v>1335</v>
      </c>
      <c r="E76" s="53" t="s">
        <v>1432</v>
      </c>
      <c r="F76" s="53" t="s">
        <v>46</v>
      </c>
      <c r="G76" s="53" t="s">
        <v>1299</v>
      </c>
      <c r="H76" s="17">
        <v>44671</v>
      </c>
      <c r="I76" s="17" t="s">
        <v>1435</v>
      </c>
      <c r="J76" s="17" t="s">
        <v>1445</v>
      </c>
      <c r="K76" s="17" t="s">
        <v>1440</v>
      </c>
      <c r="L76" s="60"/>
      <c r="M76" s="60"/>
      <c r="N76" s="60"/>
      <c r="O76" s="60"/>
    </row>
    <row r="77" spans="1:15" x14ac:dyDescent="0.15">
      <c r="A77" s="36">
        <f t="shared" si="2"/>
        <v>75</v>
      </c>
      <c r="B77" s="30">
        <v>2320640</v>
      </c>
      <c r="C77" s="53" t="s">
        <v>1299</v>
      </c>
      <c r="D77" s="18" t="s">
        <v>1420</v>
      </c>
      <c r="E77" s="53" t="s">
        <v>1432</v>
      </c>
      <c r="F77" s="53" t="s">
        <v>921</v>
      </c>
      <c r="G77" s="53" t="s">
        <v>1416</v>
      </c>
      <c r="H77" s="17">
        <v>44622</v>
      </c>
      <c r="I77" s="17" t="s">
        <v>1433</v>
      </c>
      <c r="J77" s="17" t="s">
        <v>1443</v>
      </c>
      <c r="K77" s="17" t="s">
        <v>1438</v>
      </c>
      <c r="L77" s="60"/>
      <c r="M77" s="60"/>
      <c r="N77" s="60"/>
      <c r="O77" s="60"/>
    </row>
    <row r="78" spans="1:15" x14ac:dyDescent="0.15">
      <c r="A78" s="36">
        <f t="shared" si="2"/>
        <v>76</v>
      </c>
      <c r="B78" s="34">
        <v>2302655</v>
      </c>
      <c r="C78" s="53" t="s">
        <v>1299</v>
      </c>
      <c r="D78" s="27" t="s">
        <v>1328</v>
      </c>
      <c r="E78" s="53" t="s">
        <v>1432</v>
      </c>
      <c r="F78" s="53" t="s">
        <v>1329</v>
      </c>
      <c r="G78" s="53" t="s">
        <v>1421</v>
      </c>
      <c r="H78" s="17">
        <v>44622</v>
      </c>
      <c r="I78" s="17" t="s">
        <v>1434</v>
      </c>
      <c r="J78" s="17" t="s">
        <v>1444</v>
      </c>
      <c r="K78" s="17" t="s">
        <v>1439</v>
      </c>
      <c r="L78" s="60"/>
      <c r="M78" s="60"/>
      <c r="N78" s="60"/>
      <c r="O78" s="60"/>
    </row>
    <row r="79" spans="1:15" x14ac:dyDescent="0.15">
      <c r="A79" s="36">
        <f t="shared" si="2"/>
        <v>77</v>
      </c>
      <c r="B79" s="32">
        <v>2302650</v>
      </c>
      <c r="C79" s="53" t="s">
        <v>920</v>
      </c>
      <c r="D79" s="18" t="s">
        <v>486</v>
      </c>
      <c r="E79" s="53" t="s">
        <v>1432</v>
      </c>
      <c r="F79" s="53" t="s">
        <v>921</v>
      </c>
      <c r="G79" s="53" t="s">
        <v>1246</v>
      </c>
      <c r="H79" s="17">
        <v>42736</v>
      </c>
      <c r="I79" s="17" t="s">
        <v>922</v>
      </c>
      <c r="J79" s="17" t="s">
        <v>1235</v>
      </c>
      <c r="K79" s="17" t="s">
        <v>1234</v>
      </c>
      <c r="L79" s="60"/>
      <c r="M79" s="60"/>
      <c r="N79" s="60"/>
      <c r="O79" s="60"/>
    </row>
    <row r="80" spans="1:15" x14ac:dyDescent="0.15">
      <c r="A80" s="36">
        <f t="shared" si="2"/>
        <v>78</v>
      </c>
      <c r="B80" s="30">
        <v>2018640</v>
      </c>
      <c r="C80" s="53" t="s">
        <v>155</v>
      </c>
      <c r="D80" s="18" t="s">
        <v>895</v>
      </c>
      <c r="E80" s="53" t="s">
        <v>46</v>
      </c>
      <c r="F80" s="53" t="s">
        <v>154</v>
      </c>
      <c r="G80" s="53" t="s">
        <v>1246</v>
      </c>
      <c r="H80" s="17">
        <v>42005</v>
      </c>
      <c r="I80" s="17" t="s">
        <v>1273</v>
      </c>
      <c r="J80" s="17" t="s">
        <v>1125</v>
      </c>
      <c r="K80" s="17" t="s">
        <v>1124</v>
      </c>
      <c r="L80" s="60" t="s">
        <v>494</v>
      </c>
      <c r="M80" s="60"/>
      <c r="N80" s="60"/>
      <c r="O80" s="60"/>
    </row>
    <row r="81" spans="1:15" x14ac:dyDescent="0.15">
      <c r="A81" s="36">
        <f t="shared" si="2"/>
        <v>79</v>
      </c>
      <c r="B81" s="30">
        <v>2018674</v>
      </c>
      <c r="C81" s="53" t="s">
        <v>156</v>
      </c>
      <c r="D81" s="18" t="s">
        <v>432</v>
      </c>
      <c r="E81" s="53" t="s">
        <v>46</v>
      </c>
      <c r="F81" s="53" t="s">
        <v>154</v>
      </c>
      <c r="G81" s="53" t="s">
        <v>1247</v>
      </c>
      <c r="H81" s="17">
        <v>40544</v>
      </c>
      <c r="I81" s="17" t="s">
        <v>288</v>
      </c>
      <c r="J81" s="17" t="s">
        <v>1129</v>
      </c>
      <c r="K81" s="17" t="s">
        <v>1128</v>
      </c>
      <c r="L81" s="60" t="s">
        <v>1248</v>
      </c>
      <c r="M81" s="60" t="s">
        <v>1248</v>
      </c>
      <c r="N81" s="60" t="s">
        <v>1248</v>
      </c>
      <c r="O81" s="60" t="s">
        <v>1248</v>
      </c>
    </row>
    <row r="82" spans="1:15" x14ac:dyDescent="0.15">
      <c r="A82" s="36">
        <f t="shared" si="2"/>
        <v>80</v>
      </c>
      <c r="B82" s="30">
        <v>2018662</v>
      </c>
      <c r="C82" s="53" t="s">
        <v>896</v>
      </c>
      <c r="D82" s="18" t="s">
        <v>431</v>
      </c>
      <c r="E82" s="53" t="s">
        <v>46</v>
      </c>
      <c r="F82" s="53" t="s">
        <v>897</v>
      </c>
      <c r="G82" s="53" t="s">
        <v>1246</v>
      </c>
      <c r="H82" s="17">
        <v>43078</v>
      </c>
      <c r="I82" s="17" t="s">
        <v>898</v>
      </c>
      <c r="J82" s="17" t="s">
        <v>1127</v>
      </c>
      <c r="K82" s="17" t="s">
        <v>1126</v>
      </c>
      <c r="L82" s="60"/>
      <c r="M82" s="60"/>
      <c r="N82" s="60"/>
      <c r="O82" s="60"/>
    </row>
    <row r="83" spans="1:15" x14ac:dyDescent="0.15">
      <c r="A83" s="36">
        <f t="shared" si="2"/>
        <v>81</v>
      </c>
      <c r="B83" s="30">
        <v>2007686</v>
      </c>
      <c r="C83" s="53" t="s">
        <v>1255</v>
      </c>
      <c r="D83" s="18" t="s">
        <v>490</v>
      </c>
      <c r="E83" s="53" t="s">
        <v>46</v>
      </c>
      <c r="F83" s="53" t="s">
        <v>46</v>
      </c>
      <c r="G83" s="53" t="s">
        <v>1247</v>
      </c>
      <c r="H83" s="17">
        <v>43406</v>
      </c>
      <c r="I83" s="17" t="s">
        <v>505</v>
      </c>
      <c r="J83" s="17" t="s">
        <v>1000</v>
      </c>
      <c r="K83" s="17" t="s">
        <v>999</v>
      </c>
      <c r="L83" s="60" t="s">
        <v>1248</v>
      </c>
      <c r="M83" s="60" t="s">
        <v>1248</v>
      </c>
      <c r="N83" s="60" t="s">
        <v>1248</v>
      </c>
      <c r="O83" s="60" t="s">
        <v>1248</v>
      </c>
    </row>
    <row r="84" spans="1:15" x14ac:dyDescent="0.15">
      <c r="A84" s="36">
        <f t="shared" si="2"/>
        <v>82</v>
      </c>
      <c r="B84" s="30">
        <v>2006625</v>
      </c>
      <c r="C84" s="53" t="s">
        <v>844</v>
      </c>
      <c r="D84" s="18" t="s">
        <v>363</v>
      </c>
      <c r="E84" s="53" t="s">
        <v>46</v>
      </c>
      <c r="F84" s="53" t="s">
        <v>845</v>
      </c>
      <c r="G84" s="53" t="s">
        <v>1246</v>
      </c>
      <c r="H84" s="17">
        <v>37712</v>
      </c>
      <c r="I84" s="17" t="s">
        <v>846</v>
      </c>
      <c r="J84" s="17" t="s">
        <v>984</v>
      </c>
      <c r="K84" s="17" t="s">
        <v>983</v>
      </c>
      <c r="L84" s="60"/>
      <c r="M84" s="60"/>
      <c r="N84" s="60"/>
      <c r="O84" s="60"/>
    </row>
    <row r="85" spans="1:15" x14ac:dyDescent="0.15">
      <c r="A85" s="36">
        <f t="shared" si="2"/>
        <v>83</v>
      </c>
      <c r="B85" s="30">
        <v>2007680</v>
      </c>
      <c r="C85" s="53" t="s">
        <v>859</v>
      </c>
      <c r="D85" s="18" t="s">
        <v>370</v>
      </c>
      <c r="E85" s="53" t="s">
        <v>46</v>
      </c>
      <c r="F85" s="53" t="s">
        <v>46</v>
      </c>
      <c r="G85" s="53" t="s">
        <v>1247</v>
      </c>
      <c r="H85" s="17">
        <v>40329</v>
      </c>
      <c r="I85" s="17" t="s">
        <v>504</v>
      </c>
      <c r="J85" s="17" t="s">
        <v>996</v>
      </c>
      <c r="K85" s="17" t="s">
        <v>995</v>
      </c>
      <c r="L85" s="60"/>
      <c r="M85" s="60"/>
      <c r="N85" s="60"/>
      <c r="O85" s="60"/>
    </row>
    <row r="86" spans="1:15" x14ac:dyDescent="0.15">
      <c r="A86" s="36">
        <f t="shared" si="2"/>
        <v>84</v>
      </c>
      <c r="B86" s="30">
        <v>2007682</v>
      </c>
      <c r="C86" s="53" t="s">
        <v>860</v>
      </c>
      <c r="D86" s="18" t="s">
        <v>371</v>
      </c>
      <c r="E86" s="53" t="s">
        <v>46</v>
      </c>
      <c r="F86" s="53" t="s">
        <v>46</v>
      </c>
      <c r="G86" s="53" t="s">
        <v>1247</v>
      </c>
      <c r="H86" s="17">
        <v>40725</v>
      </c>
      <c r="I86" s="17" t="s">
        <v>861</v>
      </c>
      <c r="J86" s="17" t="s">
        <v>998</v>
      </c>
      <c r="K86" s="17" t="s">
        <v>997</v>
      </c>
      <c r="L86" s="60"/>
      <c r="M86" s="60"/>
      <c r="N86" s="60"/>
      <c r="O86" s="60"/>
    </row>
    <row r="87" spans="1:15" x14ac:dyDescent="0.15">
      <c r="A87" s="36">
        <f t="shared" si="2"/>
        <v>85</v>
      </c>
      <c r="B87" s="30">
        <v>2006630</v>
      </c>
      <c r="C87" s="53" t="s">
        <v>847</v>
      </c>
      <c r="D87" s="18" t="s">
        <v>364</v>
      </c>
      <c r="E87" s="53" t="s">
        <v>46</v>
      </c>
      <c r="F87" s="53" t="s">
        <v>845</v>
      </c>
      <c r="G87" s="53" t="s">
        <v>1246</v>
      </c>
      <c r="H87" s="17">
        <v>24838</v>
      </c>
      <c r="I87" s="17" t="s">
        <v>848</v>
      </c>
      <c r="J87" s="17" t="s">
        <v>986</v>
      </c>
      <c r="K87" s="17" t="s">
        <v>985</v>
      </c>
      <c r="L87" s="60"/>
      <c r="M87" s="60"/>
      <c r="N87" s="60"/>
      <c r="O87" s="60"/>
    </row>
    <row r="88" spans="1:15" x14ac:dyDescent="0.15">
      <c r="A88" s="36">
        <f t="shared" si="2"/>
        <v>86</v>
      </c>
      <c r="B88" s="30">
        <v>2005680</v>
      </c>
      <c r="C88" s="53" t="s">
        <v>80</v>
      </c>
      <c r="D88" s="18" t="s">
        <v>362</v>
      </c>
      <c r="E88" s="53" t="s">
        <v>46</v>
      </c>
      <c r="F88" s="53" t="s">
        <v>81</v>
      </c>
      <c r="G88" s="53" t="s">
        <v>1246</v>
      </c>
      <c r="H88" s="17">
        <v>24838</v>
      </c>
      <c r="I88" s="17" t="s">
        <v>245</v>
      </c>
      <c r="J88" s="17" t="s">
        <v>982</v>
      </c>
      <c r="K88" s="17" t="s">
        <v>981</v>
      </c>
      <c r="L88" s="60"/>
      <c r="M88" s="60"/>
      <c r="N88" s="60"/>
      <c r="O88" s="60"/>
    </row>
    <row r="89" spans="1:15" x14ac:dyDescent="0.15">
      <c r="A89" s="36">
        <f t="shared" si="2"/>
        <v>87</v>
      </c>
      <c r="B89" s="30">
        <v>2006675</v>
      </c>
      <c r="C89" s="53" t="s">
        <v>852</v>
      </c>
      <c r="D89" s="18" t="s">
        <v>366</v>
      </c>
      <c r="E89" s="53" t="s">
        <v>46</v>
      </c>
      <c r="F89" s="53" t="s">
        <v>845</v>
      </c>
      <c r="G89" s="53" t="s">
        <v>1246</v>
      </c>
      <c r="H89" s="17">
        <v>40179</v>
      </c>
      <c r="I89" s="17" t="s">
        <v>853</v>
      </c>
      <c r="J89" s="17" t="s">
        <v>990</v>
      </c>
      <c r="K89" s="17" t="s">
        <v>989</v>
      </c>
      <c r="L89" s="60" t="s">
        <v>494</v>
      </c>
      <c r="M89" s="60" t="s">
        <v>494</v>
      </c>
      <c r="N89" s="60" t="s">
        <v>494</v>
      </c>
      <c r="O89" s="60" t="s">
        <v>494</v>
      </c>
    </row>
    <row r="90" spans="1:15" x14ac:dyDescent="0.15">
      <c r="A90" s="36">
        <f t="shared" si="2"/>
        <v>88</v>
      </c>
      <c r="B90" s="30">
        <v>2006665</v>
      </c>
      <c r="C90" s="53" t="s">
        <v>849</v>
      </c>
      <c r="D90" s="18" t="s">
        <v>365</v>
      </c>
      <c r="E90" s="53" t="s">
        <v>46</v>
      </c>
      <c r="F90" s="53" t="s">
        <v>850</v>
      </c>
      <c r="G90" s="53" t="s">
        <v>1246</v>
      </c>
      <c r="H90" s="17">
        <v>15615</v>
      </c>
      <c r="I90" s="17" t="s">
        <v>851</v>
      </c>
      <c r="J90" s="17" t="s">
        <v>988</v>
      </c>
      <c r="K90" s="17" t="s">
        <v>987</v>
      </c>
      <c r="L90" s="60"/>
      <c r="M90" s="60"/>
      <c r="N90" s="60"/>
      <c r="O90" s="60" t="s">
        <v>494</v>
      </c>
    </row>
    <row r="91" spans="1:15" x14ac:dyDescent="0.15">
      <c r="A91" s="36">
        <f t="shared" si="2"/>
        <v>89</v>
      </c>
      <c r="B91" s="30">
        <v>2013615</v>
      </c>
      <c r="C91" s="53" t="s">
        <v>127</v>
      </c>
      <c r="D91" s="18" t="s">
        <v>410</v>
      </c>
      <c r="E91" s="53" t="s">
        <v>46</v>
      </c>
      <c r="F91" s="53" t="s">
        <v>128</v>
      </c>
      <c r="G91" s="53" t="s">
        <v>1246</v>
      </c>
      <c r="H91" s="17">
        <v>22828</v>
      </c>
      <c r="I91" s="17" t="s">
        <v>272</v>
      </c>
      <c r="J91" s="17" t="s">
        <v>1079</v>
      </c>
      <c r="K91" s="17" t="s">
        <v>1078</v>
      </c>
      <c r="L91" s="60"/>
      <c r="M91" s="60"/>
      <c r="N91" s="60" t="s">
        <v>494</v>
      </c>
      <c r="O91" s="60"/>
    </row>
    <row r="92" spans="1:15" x14ac:dyDescent="0.15">
      <c r="A92" s="36">
        <f t="shared" si="2"/>
        <v>90</v>
      </c>
      <c r="B92" s="30">
        <v>2011665</v>
      </c>
      <c r="C92" s="53" t="s">
        <v>105</v>
      </c>
      <c r="D92" s="18" t="s">
        <v>394</v>
      </c>
      <c r="E92" s="53" t="s">
        <v>46</v>
      </c>
      <c r="F92" s="53" t="s">
        <v>106</v>
      </c>
      <c r="G92" s="53" t="s">
        <v>1246</v>
      </c>
      <c r="H92" s="17">
        <v>39814</v>
      </c>
      <c r="I92" s="17" t="s">
        <v>881</v>
      </c>
      <c r="J92" s="17" t="s">
        <v>1048</v>
      </c>
      <c r="K92" s="17" t="s">
        <v>1047</v>
      </c>
      <c r="L92" s="60"/>
      <c r="M92" s="60"/>
      <c r="N92" s="60"/>
      <c r="O92" s="60"/>
    </row>
    <row r="93" spans="1:15" x14ac:dyDescent="0.15">
      <c r="A93" s="36">
        <f t="shared" si="2"/>
        <v>91</v>
      </c>
      <c r="B93" s="30">
        <v>2011660</v>
      </c>
      <c r="C93" s="53" t="s">
        <v>104</v>
      </c>
      <c r="D93" s="18" t="s">
        <v>393</v>
      </c>
      <c r="E93" s="53" t="s">
        <v>46</v>
      </c>
      <c r="F93" s="53" t="s">
        <v>46</v>
      </c>
      <c r="G93" s="53" t="s">
        <v>1247</v>
      </c>
      <c r="H93" s="17">
        <v>34766</v>
      </c>
      <c r="I93" s="17" t="s">
        <v>256</v>
      </c>
      <c r="J93" s="17" t="s">
        <v>1046</v>
      </c>
      <c r="K93" s="17" t="s">
        <v>1045</v>
      </c>
      <c r="L93" s="60" t="s">
        <v>1248</v>
      </c>
      <c r="M93" s="60" t="s">
        <v>1248</v>
      </c>
      <c r="N93" s="60" t="s">
        <v>1248</v>
      </c>
      <c r="O93" s="60" t="s">
        <v>1248</v>
      </c>
    </row>
    <row r="94" spans="1:15" x14ac:dyDescent="0.15">
      <c r="A94" s="36">
        <f t="shared" si="2"/>
        <v>92</v>
      </c>
      <c r="B94" s="30">
        <v>2013629</v>
      </c>
      <c r="C94" s="53" t="s">
        <v>1299</v>
      </c>
      <c r="D94" s="54" t="s">
        <v>1413</v>
      </c>
      <c r="E94" s="27" t="s">
        <v>46</v>
      </c>
      <c r="F94" s="27" t="s">
        <v>1405</v>
      </c>
      <c r="G94" s="57" t="s">
        <v>1246</v>
      </c>
      <c r="H94" s="37"/>
      <c r="I94" s="37"/>
      <c r="J94" s="37"/>
      <c r="K94" s="37"/>
      <c r="L94" s="61"/>
      <c r="M94" s="61"/>
      <c r="N94" s="61"/>
      <c r="O94" s="61" t="s">
        <v>494</v>
      </c>
    </row>
    <row r="95" spans="1:15" x14ac:dyDescent="0.15">
      <c r="A95" s="36">
        <f t="shared" si="2"/>
        <v>93</v>
      </c>
      <c r="B95" s="30">
        <v>2013620</v>
      </c>
      <c r="C95" s="53" t="s">
        <v>129</v>
      </c>
      <c r="D95" s="18" t="s">
        <v>411</v>
      </c>
      <c r="E95" s="53" t="s">
        <v>46</v>
      </c>
      <c r="F95" s="53" t="s">
        <v>130</v>
      </c>
      <c r="G95" s="53" t="s">
        <v>1246</v>
      </c>
      <c r="H95" s="17">
        <v>39814</v>
      </c>
      <c r="I95" s="17" t="s">
        <v>885</v>
      </c>
      <c r="J95" s="17" t="s">
        <v>1081</v>
      </c>
      <c r="K95" s="17" t="s">
        <v>1080</v>
      </c>
      <c r="L95" s="60"/>
      <c r="M95" s="60"/>
      <c r="N95" s="60"/>
      <c r="O95" s="60"/>
    </row>
    <row r="96" spans="1:15" x14ac:dyDescent="0.15">
      <c r="A96" s="36">
        <f t="shared" si="2"/>
        <v>94</v>
      </c>
      <c r="B96" s="30">
        <v>2002695</v>
      </c>
      <c r="C96" s="53" t="s">
        <v>59</v>
      </c>
      <c r="D96" s="18" t="s">
        <v>348</v>
      </c>
      <c r="E96" s="53" t="s">
        <v>46</v>
      </c>
      <c r="F96" s="53" t="s">
        <v>58</v>
      </c>
      <c r="G96" s="53" t="s">
        <v>1246</v>
      </c>
      <c r="H96" s="17">
        <v>41640</v>
      </c>
      <c r="I96" s="17" t="s">
        <v>232</v>
      </c>
      <c r="J96" s="17" t="s">
        <v>950</v>
      </c>
      <c r="K96" s="17" t="s">
        <v>949</v>
      </c>
      <c r="L96" s="60" t="s">
        <v>494</v>
      </c>
      <c r="M96" s="60" t="s">
        <v>494</v>
      </c>
      <c r="N96" s="60" t="s">
        <v>494</v>
      </c>
      <c r="O96" s="60" t="s">
        <v>494</v>
      </c>
    </row>
    <row r="97" spans="1:15" x14ac:dyDescent="0.15">
      <c r="A97" s="36">
        <f t="shared" si="2"/>
        <v>95</v>
      </c>
      <c r="B97" s="66">
        <v>2002685</v>
      </c>
      <c r="C97" s="53" t="s">
        <v>57</v>
      </c>
      <c r="D97" s="70" t="s">
        <v>347</v>
      </c>
      <c r="E97" s="53" t="s">
        <v>46</v>
      </c>
      <c r="F97" s="53" t="s">
        <v>58</v>
      </c>
      <c r="G97" s="53" t="s">
        <v>1246</v>
      </c>
      <c r="H97" s="17">
        <v>32143</v>
      </c>
      <c r="I97" s="45" t="s">
        <v>231</v>
      </c>
      <c r="J97" s="17" t="s">
        <v>948</v>
      </c>
      <c r="K97" s="17" t="s">
        <v>947</v>
      </c>
      <c r="L97" s="60" t="s">
        <v>494</v>
      </c>
      <c r="M97" s="60" t="s">
        <v>494</v>
      </c>
      <c r="N97" s="60" t="s">
        <v>494</v>
      </c>
      <c r="O97" s="60" t="s">
        <v>494</v>
      </c>
    </row>
    <row r="98" spans="1:15" x14ac:dyDescent="0.15">
      <c r="A98" s="36">
        <f t="shared" ref="A98:A129" si="3">ROW()-2</f>
        <v>96</v>
      </c>
      <c r="B98" s="30">
        <v>2003640</v>
      </c>
      <c r="C98" s="53" t="s">
        <v>60</v>
      </c>
      <c r="D98" s="18" t="s">
        <v>349</v>
      </c>
      <c r="E98" s="53" t="s">
        <v>46</v>
      </c>
      <c r="F98" s="53" t="s">
        <v>61</v>
      </c>
      <c r="G98" s="53" t="s">
        <v>1246</v>
      </c>
      <c r="H98" s="17">
        <v>38376</v>
      </c>
      <c r="I98" s="17" t="s">
        <v>233</v>
      </c>
      <c r="J98" s="17" t="s">
        <v>952</v>
      </c>
      <c r="K98" s="17" t="s">
        <v>951</v>
      </c>
      <c r="L98" s="60" t="s">
        <v>494</v>
      </c>
      <c r="M98" s="60" t="s">
        <v>494</v>
      </c>
      <c r="N98" s="60" t="s">
        <v>494</v>
      </c>
      <c r="O98" s="60" t="s">
        <v>494</v>
      </c>
    </row>
    <row r="99" spans="1:15" x14ac:dyDescent="0.15">
      <c r="A99" s="36">
        <f t="shared" si="3"/>
        <v>97</v>
      </c>
      <c r="B99" s="30">
        <v>2022660</v>
      </c>
      <c r="C99" s="53" t="s">
        <v>195</v>
      </c>
      <c r="D99" s="18" t="s">
        <v>464</v>
      </c>
      <c r="E99" s="53" t="s">
        <v>46</v>
      </c>
      <c r="F99" s="53" t="s">
        <v>194</v>
      </c>
      <c r="G99" s="53" t="s">
        <v>1247</v>
      </c>
      <c r="H99" s="17">
        <v>22828</v>
      </c>
      <c r="I99" s="17" t="s">
        <v>1282</v>
      </c>
      <c r="J99" s="17" t="s">
        <v>1190</v>
      </c>
      <c r="K99" s="17" t="s">
        <v>1189</v>
      </c>
      <c r="L99" s="60"/>
      <c r="M99" s="60"/>
      <c r="N99" s="60"/>
      <c r="O99" s="60"/>
    </row>
    <row r="100" spans="1:15" x14ac:dyDescent="0.15">
      <c r="A100" s="36">
        <f t="shared" si="3"/>
        <v>98</v>
      </c>
      <c r="B100" s="30">
        <v>2022670</v>
      </c>
      <c r="C100" s="53" t="s">
        <v>196</v>
      </c>
      <c r="D100" s="18" t="s">
        <v>465</v>
      </c>
      <c r="E100" s="53" t="s">
        <v>46</v>
      </c>
      <c r="F100" s="53" t="s">
        <v>194</v>
      </c>
      <c r="G100" s="53" t="s">
        <v>1247</v>
      </c>
      <c r="H100" s="17">
        <v>38744</v>
      </c>
      <c r="I100" s="17" t="s">
        <v>1283</v>
      </c>
      <c r="J100" s="17" t="s">
        <v>1192</v>
      </c>
      <c r="K100" s="17" t="s">
        <v>1191</v>
      </c>
      <c r="L100" s="60"/>
      <c r="M100" s="60"/>
      <c r="N100" s="60"/>
      <c r="O100" s="60"/>
    </row>
    <row r="101" spans="1:15" x14ac:dyDescent="0.15">
      <c r="A101" s="36">
        <f t="shared" si="3"/>
        <v>99</v>
      </c>
      <c r="B101" s="30">
        <v>2022655</v>
      </c>
      <c r="C101" s="53" t="s">
        <v>193</v>
      </c>
      <c r="D101" s="18" t="s">
        <v>463</v>
      </c>
      <c r="E101" s="53" t="s">
        <v>46</v>
      </c>
      <c r="F101" s="53" t="s">
        <v>194</v>
      </c>
      <c r="G101" s="53" t="s">
        <v>1247</v>
      </c>
      <c r="H101" s="17">
        <v>38742</v>
      </c>
      <c r="I101" s="17" t="s">
        <v>1281</v>
      </c>
      <c r="J101" s="17" t="s">
        <v>1188</v>
      </c>
      <c r="K101" s="17" t="s">
        <v>1187</v>
      </c>
      <c r="L101" s="60" t="s">
        <v>494</v>
      </c>
      <c r="M101" s="60" t="s">
        <v>494</v>
      </c>
      <c r="N101" s="60" t="s">
        <v>494</v>
      </c>
      <c r="O101" s="60" t="s">
        <v>494</v>
      </c>
    </row>
    <row r="102" spans="1:15" x14ac:dyDescent="0.15">
      <c r="A102" s="36">
        <f t="shared" si="3"/>
        <v>100</v>
      </c>
      <c r="B102" s="30">
        <v>2402630</v>
      </c>
      <c r="C102" s="53" t="s">
        <v>226</v>
      </c>
      <c r="D102" s="18" t="s">
        <v>489</v>
      </c>
      <c r="E102" s="57" t="s">
        <v>227</v>
      </c>
      <c r="F102" s="57" t="s">
        <v>227</v>
      </c>
      <c r="G102" s="57" t="s">
        <v>1246</v>
      </c>
      <c r="H102" s="17">
        <v>42370</v>
      </c>
      <c r="I102" s="17" t="s">
        <v>925</v>
      </c>
      <c r="J102" s="17" t="s">
        <v>1240</v>
      </c>
      <c r="K102" s="17" t="s">
        <v>228</v>
      </c>
      <c r="L102" s="60"/>
      <c r="M102" s="60" t="s">
        <v>494</v>
      </c>
      <c r="N102" s="60" t="s">
        <v>494</v>
      </c>
      <c r="O102" s="60" t="s">
        <v>494</v>
      </c>
    </row>
    <row r="103" spans="1:15" x14ac:dyDescent="0.15">
      <c r="A103" s="36">
        <f t="shared" si="3"/>
        <v>101</v>
      </c>
      <c r="B103" s="30">
        <v>2401690</v>
      </c>
      <c r="C103" s="53" t="s">
        <v>225</v>
      </c>
      <c r="D103" s="18" t="s">
        <v>488</v>
      </c>
      <c r="E103" s="53" t="s">
        <v>502</v>
      </c>
      <c r="F103" s="53" t="s">
        <v>42</v>
      </c>
      <c r="G103" s="53" t="s">
        <v>1246</v>
      </c>
      <c r="H103" s="17">
        <v>42370</v>
      </c>
      <c r="I103" s="17" t="s">
        <v>1296</v>
      </c>
      <c r="J103" s="17" t="s">
        <v>1297</v>
      </c>
      <c r="K103" s="17" t="s">
        <v>1239</v>
      </c>
      <c r="L103" s="60"/>
      <c r="M103" s="60" t="s">
        <v>494</v>
      </c>
      <c r="N103" s="60" t="s">
        <v>494</v>
      </c>
      <c r="O103" s="60" t="s">
        <v>494</v>
      </c>
    </row>
    <row r="104" spans="1:15" x14ac:dyDescent="0.15">
      <c r="A104" s="36">
        <f t="shared" si="3"/>
        <v>102</v>
      </c>
      <c r="B104" s="30">
        <v>2002634</v>
      </c>
      <c r="C104" s="53" t="s">
        <v>55</v>
      </c>
      <c r="D104" s="18" t="s">
        <v>346</v>
      </c>
      <c r="E104" s="53" t="s">
        <v>46</v>
      </c>
      <c r="F104" s="53" t="s">
        <v>56</v>
      </c>
      <c r="G104" s="53" t="s">
        <v>1247</v>
      </c>
      <c r="H104" s="17">
        <v>41640</v>
      </c>
      <c r="I104" s="17" t="s">
        <v>1470</v>
      </c>
      <c r="J104" s="17" t="s">
        <v>946</v>
      </c>
      <c r="K104" s="17" t="s">
        <v>945</v>
      </c>
      <c r="L104" s="60" t="s">
        <v>494</v>
      </c>
      <c r="M104" s="60" t="s">
        <v>494</v>
      </c>
      <c r="N104" s="60" t="s">
        <v>494</v>
      </c>
      <c r="O104" s="60" t="s">
        <v>494</v>
      </c>
    </row>
    <row r="105" spans="1:15" x14ac:dyDescent="0.15">
      <c r="A105" s="36">
        <f t="shared" si="3"/>
        <v>103</v>
      </c>
      <c r="B105" s="30">
        <v>2004629</v>
      </c>
      <c r="C105" s="53" t="s">
        <v>1299</v>
      </c>
      <c r="D105" s="54" t="s">
        <v>1409</v>
      </c>
      <c r="E105" s="27" t="s">
        <v>46</v>
      </c>
      <c r="F105" s="27" t="s">
        <v>1400</v>
      </c>
      <c r="G105" s="57" t="s">
        <v>1246</v>
      </c>
      <c r="H105" s="38"/>
      <c r="I105" s="37"/>
      <c r="J105" s="37"/>
      <c r="K105" s="37"/>
      <c r="L105" s="61"/>
      <c r="M105" s="61"/>
      <c r="N105" s="61"/>
      <c r="O105" s="61" t="s">
        <v>494</v>
      </c>
    </row>
    <row r="106" spans="1:15" x14ac:dyDescent="0.15">
      <c r="A106" s="36">
        <f t="shared" si="3"/>
        <v>104</v>
      </c>
      <c r="B106" s="30">
        <v>2004640</v>
      </c>
      <c r="C106" s="53" t="s">
        <v>68</v>
      </c>
      <c r="D106" s="18" t="s">
        <v>354</v>
      </c>
      <c r="E106" s="53" t="s">
        <v>46</v>
      </c>
      <c r="F106" s="53" t="s">
        <v>65</v>
      </c>
      <c r="G106" s="53" t="s">
        <v>1247</v>
      </c>
      <c r="H106" s="17">
        <v>39448</v>
      </c>
      <c r="I106" s="17" t="s">
        <v>238</v>
      </c>
      <c r="J106" s="17" t="s">
        <v>962</v>
      </c>
      <c r="K106" s="17" t="s">
        <v>961</v>
      </c>
      <c r="L106" s="60" t="s">
        <v>494</v>
      </c>
      <c r="M106" s="60" t="s">
        <v>494</v>
      </c>
      <c r="N106" s="60" t="s">
        <v>494</v>
      </c>
      <c r="O106" s="60" t="s">
        <v>494</v>
      </c>
    </row>
    <row r="107" spans="1:15" x14ac:dyDescent="0.15">
      <c r="A107" s="36">
        <f t="shared" si="3"/>
        <v>105</v>
      </c>
      <c r="B107" s="30">
        <v>2004615</v>
      </c>
      <c r="C107" s="53" t="s">
        <v>1299</v>
      </c>
      <c r="D107" s="18" t="s">
        <v>1408</v>
      </c>
      <c r="E107" s="27" t="s">
        <v>46</v>
      </c>
      <c r="F107" s="27" t="s">
        <v>1400</v>
      </c>
      <c r="G107" s="57" t="s">
        <v>1246</v>
      </c>
      <c r="H107" s="37"/>
      <c r="I107" s="37"/>
      <c r="J107" s="37"/>
      <c r="K107" s="37"/>
      <c r="L107" s="61"/>
      <c r="M107" s="61"/>
      <c r="N107" s="61"/>
      <c r="O107" s="61" t="s">
        <v>494</v>
      </c>
    </row>
    <row r="108" spans="1:15" x14ac:dyDescent="0.15">
      <c r="A108" s="36">
        <f t="shared" si="3"/>
        <v>106</v>
      </c>
      <c r="B108" s="32">
        <v>2004635</v>
      </c>
      <c r="C108" s="53" t="s">
        <v>66</v>
      </c>
      <c r="D108" s="18" t="s">
        <v>353</v>
      </c>
      <c r="E108" s="53" t="s">
        <v>46</v>
      </c>
      <c r="F108" s="53" t="s">
        <v>67</v>
      </c>
      <c r="G108" s="53" t="s">
        <v>1246</v>
      </c>
      <c r="H108" s="17">
        <v>39108</v>
      </c>
      <c r="I108" s="17" t="s">
        <v>237</v>
      </c>
      <c r="J108" s="17" t="s">
        <v>960</v>
      </c>
      <c r="K108" s="17" t="s">
        <v>959</v>
      </c>
      <c r="L108" s="60" t="s">
        <v>494</v>
      </c>
      <c r="M108" s="60" t="s">
        <v>494</v>
      </c>
      <c r="N108" s="60" t="s">
        <v>494</v>
      </c>
      <c r="O108" s="60" t="s">
        <v>494</v>
      </c>
    </row>
    <row r="109" spans="1:15" x14ac:dyDescent="0.15">
      <c r="A109" s="36">
        <f t="shared" si="3"/>
        <v>107</v>
      </c>
      <c r="B109" s="67"/>
      <c r="C109" s="37"/>
      <c r="D109" s="18" t="s">
        <v>1469</v>
      </c>
      <c r="E109" s="37"/>
      <c r="F109" s="37"/>
      <c r="G109" s="37"/>
      <c r="H109" s="37"/>
      <c r="I109" s="37"/>
      <c r="J109" s="37"/>
      <c r="K109" s="37"/>
    </row>
    <row r="110" spans="1:15" x14ac:dyDescent="0.15">
      <c r="A110" s="36">
        <f t="shared" si="3"/>
        <v>108</v>
      </c>
      <c r="B110" s="30">
        <v>2012640</v>
      </c>
      <c r="C110" s="53" t="s">
        <v>112</v>
      </c>
      <c r="D110" s="18" t="s">
        <v>399</v>
      </c>
      <c r="E110" s="53" t="s">
        <v>46</v>
      </c>
      <c r="F110" s="53" t="s">
        <v>109</v>
      </c>
      <c r="G110" s="53" t="s">
        <v>1247</v>
      </c>
      <c r="H110" s="17">
        <v>22828</v>
      </c>
      <c r="I110" s="17" t="s">
        <v>1261</v>
      </c>
      <c r="J110" s="17" t="s">
        <v>1058</v>
      </c>
      <c r="K110" s="17" t="s">
        <v>1057</v>
      </c>
      <c r="L110" s="60" t="s">
        <v>494</v>
      </c>
      <c r="M110" s="60" t="s">
        <v>494</v>
      </c>
      <c r="N110" s="60" t="s">
        <v>494</v>
      </c>
      <c r="O110" s="60" t="s">
        <v>494</v>
      </c>
    </row>
    <row r="111" spans="1:15" x14ac:dyDescent="0.15">
      <c r="A111" s="36">
        <f t="shared" si="3"/>
        <v>109</v>
      </c>
      <c r="B111" s="30">
        <v>2012625</v>
      </c>
      <c r="C111" s="53" t="s">
        <v>107</v>
      </c>
      <c r="D111" s="18" t="s">
        <v>396</v>
      </c>
      <c r="E111" s="53" t="s">
        <v>46</v>
      </c>
      <c r="F111" s="53" t="s">
        <v>108</v>
      </c>
      <c r="G111" s="53" t="s">
        <v>1246</v>
      </c>
      <c r="H111" s="17">
        <v>26299</v>
      </c>
      <c r="I111" s="17" t="s">
        <v>257</v>
      </c>
      <c r="J111" s="17" t="s">
        <v>1052</v>
      </c>
      <c r="K111" s="17" t="s">
        <v>1051</v>
      </c>
      <c r="L111" s="60" t="s">
        <v>494</v>
      </c>
      <c r="M111" s="60" t="s">
        <v>494</v>
      </c>
      <c r="N111" s="60" t="s">
        <v>494</v>
      </c>
      <c r="O111" s="60" t="s">
        <v>494</v>
      </c>
    </row>
    <row r="112" spans="1:15" x14ac:dyDescent="0.15">
      <c r="A112" s="36">
        <f t="shared" si="3"/>
        <v>110</v>
      </c>
      <c r="B112" s="30">
        <v>2012628</v>
      </c>
      <c r="C112" s="53" t="s">
        <v>883</v>
      </c>
      <c r="D112" s="18" t="s">
        <v>397</v>
      </c>
      <c r="E112" s="53" t="s">
        <v>46</v>
      </c>
      <c r="F112" s="53" t="s">
        <v>109</v>
      </c>
      <c r="G112" s="53" t="s">
        <v>1247</v>
      </c>
      <c r="H112" s="17">
        <v>39479</v>
      </c>
      <c r="I112" s="17" t="s">
        <v>1260</v>
      </c>
      <c r="J112" s="17" t="s">
        <v>1054</v>
      </c>
      <c r="K112" s="17" t="s">
        <v>1053</v>
      </c>
      <c r="L112" s="60"/>
      <c r="M112" s="60"/>
      <c r="N112" s="60"/>
      <c r="O112" s="60"/>
    </row>
    <row r="113" spans="1:15" x14ac:dyDescent="0.15">
      <c r="A113" s="36">
        <f t="shared" si="3"/>
        <v>111</v>
      </c>
      <c r="B113" s="30">
        <v>2012632</v>
      </c>
      <c r="C113" s="53" t="s">
        <v>110</v>
      </c>
      <c r="D113" s="18" t="s">
        <v>398</v>
      </c>
      <c r="E113" s="53" t="s">
        <v>46</v>
      </c>
      <c r="F113" s="53" t="s">
        <v>111</v>
      </c>
      <c r="G113" s="53" t="s">
        <v>1246</v>
      </c>
      <c r="H113" s="17">
        <v>40544</v>
      </c>
      <c r="I113" s="17" t="s">
        <v>259</v>
      </c>
      <c r="J113" s="17" t="s">
        <v>1056</v>
      </c>
      <c r="K113" s="17" t="s">
        <v>1055</v>
      </c>
      <c r="L113" s="60"/>
      <c r="M113" s="60"/>
      <c r="N113" s="60"/>
      <c r="O113" s="60" t="s">
        <v>494</v>
      </c>
    </row>
    <row r="114" spans="1:15" x14ac:dyDescent="0.15">
      <c r="A114" s="36">
        <f t="shared" si="3"/>
        <v>112</v>
      </c>
      <c r="B114" s="30">
        <v>2004655</v>
      </c>
      <c r="C114" s="53" t="s">
        <v>70</v>
      </c>
      <c r="D114" s="18" t="s">
        <v>356</v>
      </c>
      <c r="E114" s="53" t="s">
        <v>46</v>
      </c>
      <c r="F114" s="53" t="s">
        <v>65</v>
      </c>
      <c r="G114" s="53" t="s">
        <v>1246</v>
      </c>
      <c r="H114" s="17">
        <v>24838</v>
      </c>
      <c r="I114" s="17" t="s">
        <v>240</v>
      </c>
      <c r="J114" s="17" t="s">
        <v>966</v>
      </c>
      <c r="K114" s="17" t="s">
        <v>965</v>
      </c>
      <c r="L114" s="60" t="s">
        <v>494</v>
      </c>
      <c r="M114" s="60" t="s">
        <v>494</v>
      </c>
      <c r="N114" s="60" t="s">
        <v>494</v>
      </c>
      <c r="O114" s="60" t="s">
        <v>494</v>
      </c>
    </row>
    <row r="115" spans="1:15" x14ac:dyDescent="0.15">
      <c r="A115" s="36">
        <f t="shared" si="3"/>
        <v>113</v>
      </c>
      <c r="B115" s="31">
        <v>2003670</v>
      </c>
      <c r="C115" s="53" t="s">
        <v>62</v>
      </c>
      <c r="D115" s="18" t="s">
        <v>350</v>
      </c>
      <c r="E115" s="53" t="s">
        <v>46</v>
      </c>
      <c r="F115" s="53" t="s">
        <v>46</v>
      </c>
      <c r="G115" s="53" t="s">
        <v>1247</v>
      </c>
      <c r="H115" s="17">
        <v>38376</v>
      </c>
      <c r="I115" s="17" t="s">
        <v>234</v>
      </c>
      <c r="J115" s="17" t="s">
        <v>954</v>
      </c>
      <c r="K115" s="17" t="s">
        <v>953</v>
      </c>
      <c r="L115" s="60" t="s">
        <v>1248</v>
      </c>
      <c r="M115" s="60" t="s">
        <v>1248</v>
      </c>
      <c r="N115" s="60" t="s">
        <v>1248</v>
      </c>
      <c r="O115" s="60" t="s">
        <v>1248</v>
      </c>
    </row>
    <row r="116" spans="1:15" x14ac:dyDescent="0.15">
      <c r="A116" s="36">
        <f t="shared" si="3"/>
        <v>114</v>
      </c>
      <c r="B116" s="30">
        <v>2004650</v>
      </c>
      <c r="C116" s="53" t="s">
        <v>69</v>
      </c>
      <c r="D116" s="18" t="s">
        <v>355</v>
      </c>
      <c r="E116" s="53" t="s">
        <v>46</v>
      </c>
      <c r="F116" s="53" t="s">
        <v>65</v>
      </c>
      <c r="G116" s="53" t="s">
        <v>1247</v>
      </c>
      <c r="H116" s="17">
        <v>39448</v>
      </c>
      <c r="I116" s="17" t="s">
        <v>239</v>
      </c>
      <c r="J116" s="17" t="s">
        <v>964</v>
      </c>
      <c r="K116" s="17" t="s">
        <v>963</v>
      </c>
      <c r="L116" s="60"/>
      <c r="M116" s="60"/>
      <c r="N116" s="60"/>
      <c r="O116" s="60"/>
    </row>
    <row r="117" spans="1:15" x14ac:dyDescent="0.15">
      <c r="A117" s="36">
        <f t="shared" si="3"/>
        <v>115</v>
      </c>
      <c r="B117" s="32">
        <v>2004695</v>
      </c>
      <c r="C117" s="53" t="s">
        <v>75</v>
      </c>
      <c r="D117" s="18" t="s">
        <v>359</v>
      </c>
      <c r="E117" s="53" t="s">
        <v>46</v>
      </c>
      <c r="F117" s="53" t="s">
        <v>76</v>
      </c>
      <c r="G117" s="53" t="s">
        <v>1246</v>
      </c>
      <c r="H117" s="17">
        <v>24838</v>
      </c>
      <c r="I117" s="17" t="s">
        <v>243</v>
      </c>
      <c r="J117" s="17" t="s">
        <v>974</v>
      </c>
      <c r="K117" s="17" t="s">
        <v>973</v>
      </c>
      <c r="L117" s="60"/>
      <c r="M117" s="60" t="s">
        <v>494</v>
      </c>
      <c r="N117" s="60" t="s">
        <v>494</v>
      </c>
      <c r="O117" s="60" t="s">
        <v>494</v>
      </c>
    </row>
    <row r="118" spans="1:15" x14ac:dyDescent="0.15">
      <c r="A118" s="36">
        <f t="shared" si="3"/>
        <v>116</v>
      </c>
      <c r="B118" s="30">
        <v>2007660</v>
      </c>
      <c r="C118" s="53" t="s">
        <v>506</v>
      </c>
      <c r="D118" s="18" t="s">
        <v>369</v>
      </c>
      <c r="E118" s="53" t="s">
        <v>46</v>
      </c>
      <c r="F118" s="53" t="s">
        <v>46</v>
      </c>
      <c r="G118" s="53" t="s">
        <v>1247</v>
      </c>
      <c r="H118" s="17">
        <v>32143</v>
      </c>
      <c r="I118" s="17" t="s">
        <v>858</v>
      </c>
      <c r="J118" s="17" t="s">
        <v>994</v>
      </c>
      <c r="K118" s="17" t="s">
        <v>993</v>
      </c>
      <c r="L118" s="60" t="s">
        <v>1248</v>
      </c>
      <c r="M118" s="60" t="s">
        <v>1248</v>
      </c>
      <c r="N118" s="60" t="s">
        <v>1248</v>
      </c>
      <c r="O118" s="60" t="s">
        <v>1248</v>
      </c>
    </row>
    <row r="119" spans="1:15" x14ac:dyDescent="0.15">
      <c r="A119" s="36">
        <f t="shared" si="3"/>
        <v>117</v>
      </c>
      <c r="B119" s="30">
        <v>2004668</v>
      </c>
      <c r="C119" s="53" t="s">
        <v>71</v>
      </c>
      <c r="D119" s="18" t="s">
        <v>841</v>
      </c>
      <c r="E119" s="53" t="s">
        <v>46</v>
      </c>
      <c r="F119" s="53" t="s">
        <v>72</v>
      </c>
      <c r="G119" s="53" t="s">
        <v>1246</v>
      </c>
      <c r="H119" s="17">
        <v>22828</v>
      </c>
      <c r="I119" s="17" t="s">
        <v>842</v>
      </c>
      <c r="J119" s="17" t="s">
        <v>968</v>
      </c>
      <c r="K119" s="17" t="s">
        <v>967</v>
      </c>
      <c r="L119" s="60"/>
      <c r="M119" s="60"/>
      <c r="N119" s="60"/>
      <c r="O119" s="60" t="s">
        <v>494</v>
      </c>
    </row>
    <row r="120" spans="1:15" x14ac:dyDescent="0.15">
      <c r="A120" s="36">
        <f t="shared" si="3"/>
        <v>118</v>
      </c>
      <c r="B120" s="30">
        <v>2004675</v>
      </c>
      <c r="C120" s="53" t="s">
        <v>73</v>
      </c>
      <c r="D120" s="18" t="s">
        <v>357</v>
      </c>
      <c r="E120" s="53" t="s">
        <v>46</v>
      </c>
      <c r="F120" s="53" t="s">
        <v>65</v>
      </c>
      <c r="G120" s="53" t="s">
        <v>1246</v>
      </c>
      <c r="H120" s="17">
        <v>26665</v>
      </c>
      <c r="I120" s="17" t="s">
        <v>241</v>
      </c>
      <c r="J120" s="17" t="s">
        <v>970</v>
      </c>
      <c r="K120" s="17" t="s">
        <v>969</v>
      </c>
      <c r="L120" s="60"/>
      <c r="M120" s="60"/>
      <c r="N120" s="60"/>
      <c r="O120" s="60"/>
    </row>
    <row r="121" spans="1:15" x14ac:dyDescent="0.15">
      <c r="A121" s="36">
        <f t="shared" si="3"/>
        <v>119</v>
      </c>
      <c r="B121" s="30">
        <v>2004680</v>
      </c>
      <c r="C121" s="53" t="s">
        <v>74</v>
      </c>
      <c r="D121" s="18" t="s">
        <v>358</v>
      </c>
      <c r="E121" s="53" t="s">
        <v>46</v>
      </c>
      <c r="F121" s="53" t="s">
        <v>65</v>
      </c>
      <c r="G121" s="53" t="s">
        <v>1246</v>
      </c>
      <c r="H121" s="17">
        <v>39108</v>
      </c>
      <c r="I121" s="17" t="s">
        <v>242</v>
      </c>
      <c r="J121" s="17" t="s">
        <v>972</v>
      </c>
      <c r="K121" s="17" t="s">
        <v>971</v>
      </c>
      <c r="L121" s="60" t="s">
        <v>494</v>
      </c>
      <c r="M121" s="60" t="s">
        <v>494</v>
      </c>
      <c r="N121" s="60" t="s">
        <v>494</v>
      </c>
      <c r="O121" s="60" t="s">
        <v>494</v>
      </c>
    </row>
    <row r="122" spans="1:15" x14ac:dyDescent="0.15">
      <c r="A122" s="36">
        <f t="shared" si="3"/>
        <v>120</v>
      </c>
      <c r="B122" s="30">
        <v>2201611</v>
      </c>
      <c r="C122" s="53" t="s">
        <v>213</v>
      </c>
      <c r="D122" s="18" t="s">
        <v>475</v>
      </c>
      <c r="E122" s="53" t="s">
        <v>214</v>
      </c>
      <c r="F122" s="53" t="s">
        <v>214</v>
      </c>
      <c r="G122" s="53" t="s">
        <v>1246</v>
      </c>
      <c r="H122" s="17">
        <v>42370</v>
      </c>
      <c r="I122" s="17" t="s">
        <v>1289</v>
      </c>
      <c r="J122" s="17" t="s">
        <v>1214</v>
      </c>
      <c r="K122" s="17" t="s">
        <v>1213</v>
      </c>
      <c r="L122" s="60"/>
      <c r="M122" s="60" t="s">
        <v>494</v>
      </c>
      <c r="N122" s="60" t="s">
        <v>494</v>
      </c>
      <c r="O122" s="60" t="s">
        <v>494</v>
      </c>
    </row>
    <row r="123" spans="1:15" x14ac:dyDescent="0.15">
      <c r="A123" s="36">
        <f t="shared" si="3"/>
        <v>121</v>
      </c>
      <c r="B123" s="30">
        <v>2201653</v>
      </c>
      <c r="C123" s="53" t="s">
        <v>216</v>
      </c>
      <c r="D123" s="18" t="s">
        <v>478</v>
      </c>
      <c r="E123" s="53" t="s">
        <v>214</v>
      </c>
      <c r="F123" s="53" t="s">
        <v>214</v>
      </c>
      <c r="G123" s="53" t="s">
        <v>1246</v>
      </c>
      <c r="H123" s="17">
        <v>39814</v>
      </c>
      <c r="I123" s="17" t="s">
        <v>1292</v>
      </c>
      <c r="J123" s="17" t="s">
        <v>1293</v>
      </c>
      <c r="K123" s="17" t="s">
        <v>1294</v>
      </c>
      <c r="L123" s="60" t="s">
        <v>494</v>
      </c>
      <c r="M123" s="60" t="s">
        <v>494</v>
      </c>
      <c r="N123" s="60" t="s">
        <v>494</v>
      </c>
      <c r="O123" s="60" t="s">
        <v>494</v>
      </c>
    </row>
    <row r="124" spans="1:15" x14ac:dyDescent="0.15">
      <c r="A124" s="36">
        <f t="shared" si="3"/>
        <v>122</v>
      </c>
      <c r="B124" s="30">
        <v>2301670</v>
      </c>
      <c r="C124" s="53" t="s">
        <v>224</v>
      </c>
      <c r="D124" s="18" t="s">
        <v>485</v>
      </c>
      <c r="E124" s="53" t="s">
        <v>222</v>
      </c>
      <c r="F124" s="53" t="s">
        <v>222</v>
      </c>
      <c r="G124" s="53" t="s">
        <v>1247</v>
      </c>
      <c r="H124" s="17">
        <v>42370</v>
      </c>
      <c r="I124" s="17" t="s">
        <v>919</v>
      </c>
      <c r="J124" s="17" t="s">
        <v>1233</v>
      </c>
      <c r="K124" s="17" t="s">
        <v>1232</v>
      </c>
      <c r="L124" s="60"/>
      <c r="M124" s="60"/>
      <c r="N124" s="60"/>
      <c r="O124" s="60"/>
    </row>
    <row r="125" spans="1:15" x14ac:dyDescent="0.15">
      <c r="A125" s="36">
        <f t="shared" si="3"/>
        <v>123</v>
      </c>
      <c r="B125" s="30">
        <v>2301650</v>
      </c>
      <c r="C125" s="53" t="s">
        <v>223</v>
      </c>
      <c r="D125" s="18" t="s">
        <v>484</v>
      </c>
      <c r="E125" s="53" t="s">
        <v>222</v>
      </c>
      <c r="F125" s="53" t="s">
        <v>222</v>
      </c>
      <c r="G125" s="53" t="s">
        <v>1246</v>
      </c>
      <c r="H125" s="17">
        <v>22828</v>
      </c>
      <c r="I125" s="17" t="s">
        <v>327</v>
      </c>
      <c r="J125" s="17" t="s">
        <v>1231</v>
      </c>
      <c r="K125" s="17" t="s">
        <v>1230</v>
      </c>
      <c r="L125" s="60"/>
      <c r="M125" s="60"/>
      <c r="N125" s="60"/>
      <c r="O125" s="60"/>
    </row>
    <row r="126" spans="1:15" x14ac:dyDescent="0.15">
      <c r="A126" s="36">
        <f t="shared" si="3"/>
        <v>124</v>
      </c>
      <c r="B126" s="30">
        <v>2201690</v>
      </c>
      <c r="C126" s="53" t="s">
        <v>219</v>
      </c>
      <c r="D126" s="18" t="s">
        <v>482</v>
      </c>
      <c r="E126" s="53" t="s">
        <v>214</v>
      </c>
      <c r="F126" s="53" t="s">
        <v>220</v>
      </c>
      <c r="G126" s="53" t="s">
        <v>1246</v>
      </c>
      <c r="H126" s="17">
        <v>22828</v>
      </c>
      <c r="I126" s="17" t="s">
        <v>325</v>
      </c>
      <c r="J126" s="17" t="s">
        <v>1227</v>
      </c>
      <c r="K126" s="17" t="s">
        <v>1226</v>
      </c>
      <c r="L126" s="60"/>
      <c r="M126" s="60"/>
      <c r="N126" s="60"/>
      <c r="O126" s="60"/>
    </row>
    <row r="127" spans="1:15" x14ac:dyDescent="0.15">
      <c r="A127" s="36">
        <f t="shared" si="3"/>
        <v>125</v>
      </c>
      <c r="B127" s="30">
        <v>2201630</v>
      </c>
      <c r="C127" s="53" t="s">
        <v>215</v>
      </c>
      <c r="D127" s="18" t="s">
        <v>476</v>
      </c>
      <c r="E127" s="53" t="s">
        <v>214</v>
      </c>
      <c r="F127" s="53" t="s">
        <v>214</v>
      </c>
      <c r="G127" s="53" t="s">
        <v>1246</v>
      </c>
      <c r="H127" s="17">
        <v>22828</v>
      </c>
      <c r="I127" s="17" t="s">
        <v>1290</v>
      </c>
      <c r="J127" s="17" t="s">
        <v>1216</v>
      </c>
      <c r="K127" s="17" t="s">
        <v>1215</v>
      </c>
      <c r="L127" s="60" t="s">
        <v>494</v>
      </c>
      <c r="M127" s="60" t="s">
        <v>494</v>
      </c>
      <c r="N127" s="60" t="s">
        <v>494</v>
      </c>
      <c r="O127" s="60" t="s">
        <v>494</v>
      </c>
    </row>
    <row r="128" spans="1:15" x14ac:dyDescent="0.15">
      <c r="A128" s="36">
        <f t="shared" si="3"/>
        <v>126</v>
      </c>
      <c r="B128" s="32">
        <v>2201660</v>
      </c>
      <c r="C128" s="53" t="s">
        <v>217</v>
      </c>
      <c r="D128" s="18" t="s">
        <v>479</v>
      </c>
      <c r="E128" s="53" t="s">
        <v>214</v>
      </c>
      <c r="F128" s="53" t="s">
        <v>214</v>
      </c>
      <c r="G128" s="53" t="s">
        <v>1246</v>
      </c>
      <c r="H128" s="17">
        <v>22828</v>
      </c>
      <c r="I128" s="17" t="s">
        <v>1295</v>
      </c>
      <c r="J128" s="17" t="s">
        <v>1221</v>
      </c>
      <c r="K128" s="17" t="s">
        <v>1220</v>
      </c>
      <c r="L128" s="60"/>
      <c r="M128" s="60"/>
      <c r="N128" s="60"/>
      <c r="O128" s="60"/>
    </row>
    <row r="129" spans="1:15" x14ac:dyDescent="0.15">
      <c r="A129" s="36">
        <f t="shared" si="3"/>
        <v>127</v>
      </c>
      <c r="B129" s="30">
        <v>2201640</v>
      </c>
      <c r="C129" s="53" t="s">
        <v>915</v>
      </c>
      <c r="D129" s="18" t="s">
        <v>477</v>
      </c>
      <c r="E129" s="53" t="s">
        <v>214</v>
      </c>
      <c r="F129" s="53" t="s">
        <v>214</v>
      </c>
      <c r="G129" s="53" t="s">
        <v>1246</v>
      </c>
      <c r="H129" s="17">
        <v>43048</v>
      </c>
      <c r="I129" s="17" t="s">
        <v>1291</v>
      </c>
      <c r="J129" s="17" t="s">
        <v>1218</v>
      </c>
      <c r="K129" s="17" t="s">
        <v>1217</v>
      </c>
      <c r="L129" s="60"/>
      <c r="M129" s="60"/>
      <c r="N129" s="60"/>
      <c r="O129" s="60"/>
    </row>
    <row r="130" spans="1:15" x14ac:dyDescent="0.15">
      <c r="A130" s="36">
        <f t="shared" ref="A130:A161" si="4">ROW()-2</f>
        <v>128</v>
      </c>
      <c r="B130" s="30">
        <v>2201685</v>
      </c>
      <c r="C130" s="53" t="s">
        <v>917</v>
      </c>
      <c r="D130" s="18" t="s">
        <v>481</v>
      </c>
      <c r="E130" s="53" t="s">
        <v>214</v>
      </c>
      <c r="F130" s="53" t="s">
        <v>220</v>
      </c>
      <c r="G130" s="53" t="s">
        <v>1246</v>
      </c>
      <c r="H130" s="17">
        <v>43049</v>
      </c>
      <c r="I130" s="17" t="s">
        <v>918</v>
      </c>
      <c r="J130" s="17" t="s">
        <v>1225</v>
      </c>
      <c r="K130" s="17" t="s">
        <v>1224</v>
      </c>
      <c r="L130" s="60"/>
      <c r="M130" s="60"/>
      <c r="N130" s="60"/>
      <c r="O130" s="60"/>
    </row>
    <row r="131" spans="1:15" x14ac:dyDescent="0.15">
      <c r="A131" s="36">
        <f t="shared" si="4"/>
        <v>129</v>
      </c>
      <c r="B131" s="30">
        <v>2201670</v>
      </c>
      <c r="C131" s="53" t="s">
        <v>218</v>
      </c>
      <c r="D131" s="18" t="s">
        <v>480</v>
      </c>
      <c r="E131" s="53" t="s">
        <v>214</v>
      </c>
      <c r="F131" s="53" t="s">
        <v>214</v>
      </c>
      <c r="G131" s="53" t="s">
        <v>1247</v>
      </c>
      <c r="H131" s="17">
        <v>22678</v>
      </c>
      <c r="I131" s="17" t="s">
        <v>324</v>
      </c>
      <c r="J131" s="17" t="s">
        <v>1223</v>
      </c>
      <c r="K131" s="17" t="s">
        <v>1222</v>
      </c>
      <c r="L131" s="60" t="s">
        <v>1248</v>
      </c>
      <c r="M131" s="60" t="s">
        <v>1248</v>
      </c>
      <c r="N131" s="60" t="s">
        <v>1248</v>
      </c>
      <c r="O131" s="60" t="s">
        <v>1248</v>
      </c>
    </row>
    <row r="132" spans="1:15" x14ac:dyDescent="0.15">
      <c r="A132" s="36">
        <f t="shared" si="4"/>
        <v>130</v>
      </c>
      <c r="B132" s="30">
        <v>2301630</v>
      </c>
      <c r="C132" s="53" t="s">
        <v>221</v>
      </c>
      <c r="D132" s="18" t="s">
        <v>483</v>
      </c>
      <c r="E132" s="53" t="s">
        <v>222</v>
      </c>
      <c r="F132" s="53" t="s">
        <v>222</v>
      </c>
      <c r="G132" s="53" t="s">
        <v>1246</v>
      </c>
      <c r="H132" s="17">
        <v>22828</v>
      </c>
      <c r="I132" s="17" t="s">
        <v>326</v>
      </c>
      <c r="J132" s="17" t="s">
        <v>1229</v>
      </c>
      <c r="K132" s="17" t="s">
        <v>1228</v>
      </c>
      <c r="L132" s="60"/>
      <c r="M132" s="60"/>
      <c r="N132" s="60"/>
      <c r="O132" s="60"/>
    </row>
    <row r="133" spans="1:15" x14ac:dyDescent="0.15">
      <c r="A133" s="36">
        <f t="shared" si="4"/>
        <v>131</v>
      </c>
      <c r="B133" s="30">
        <v>2401650</v>
      </c>
      <c r="C133" s="53" t="s">
        <v>923</v>
      </c>
      <c r="D133" s="18" t="s">
        <v>487</v>
      </c>
      <c r="E133" s="53" t="s">
        <v>1432</v>
      </c>
      <c r="F133" s="53" t="s">
        <v>329</v>
      </c>
      <c r="G133" s="53" t="s">
        <v>1246</v>
      </c>
      <c r="H133" s="17">
        <v>42736</v>
      </c>
      <c r="I133" s="17" t="s">
        <v>924</v>
      </c>
      <c r="J133" s="17" t="s">
        <v>1237</v>
      </c>
      <c r="K133" s="17" t="s">
        <v>1236</v>
      </c>
      <c r="L133" s="60"/>
      <c r="M133" s="60" t="s">
        <v>494</v>
      </c>
      <c r="N133" s="60" t="s">
        <v>494</v>
      </c>
      <c r="O133" s="60" t="s">
        <v>494</v>
      </c>
    </row>
    <row r="134" spans="1:15" x14ac:dyDescent="0.15">
      <c r="A134" s="36">
        <f t="shared" si="4"/>
        <v>132</v>
      </c>
      <c r="B134" s="35">
        <v>2401613</v>
      </c>
      <c r="C134" s="53" t="s">
        <v>1299</v>
      </c>
      <c r="D134" s="28" t="s">
        <v>1351</v>
      </c>
      <c r="E134" s="53" t="s">
        <v>1432</v>
      </c>
      <c r="F134" s="53" t="s">
        <v>863</v>
      </c>
      <c r="G134" s="53" t="s">
        <v>1421</v>
      </c>
      <c r="H134" s="17">
        <v>44769</v>
      </c>
      <c r="I134" s="17" t="s">
        <v>1436</v>
      </c>
      <c r="J134" s="17" t="s">
        <v>1446</v>
      </c>
      <c r="K134" s="17" t="s">
        <v>1441</v>
      </c>
      <c r="L134" s="60"/>
      <c r="M134" s="60"/>
      <c r="N134" s="60"/>
      <c r="O134" s="60"/>
    </row>
    <row r="135" spans="1:15" x14ac:dyDescent="0.15">
      <c r="A135" s="36">
        <f t="shared" si="4"/>
        <v>133</v>
      </c>
      <c r="B135" s="34">
        <v>2401616</v>
      </c>
      <c r="C135" s="53" t="s">
        <v>1299</v>
      </c>
      <c r="D135" s="27" t="s">
        <v>1339</v>
      </c>
      <c r="E135" s="53" t="s">
        <v>1432</v>
      </c>
      <c r="F135" s="53" t="s">
        <v>863</v>
      </c>
      <c r="G135" s="53" t="s">
        <v>1421</v>
      </c>
      <c r="H135" s="17">
        <v>44622</v>
      </c>
      <c r="I135" s="17" t="s">
        <v>1437</v>
      </c>
      <c r="J135" s="17" t="s">
        <v>1447</v>
      </c>
      <c r="K135" s="17" t="s">
        <v>1442</v>
      </c>
      <c r="L135" s="60"/>
      <c r="M135" s="60"/>
      <c r="N135" s="60"/>
      <c r="O135" s="60"/>
    </row>
    <row r="136" spans="1:15" x14ac:dyDescent="0.15">
      <c r="A136" s="36">
        <f t="shared" si="4"/>
        <v>134</v>
      </c>
      <c r="B136" s="30">
        <v>2401616</v>
      </c>
      <c r="C136" s="53" t="s">
        <v>1299</v>
      </c>
      <c r="D136" s="18" t="s">
        <v>1415</v>
      </c>
      <c r="E136" s="27" t="s">
        <v>328</v>
      </c>
      <c r="F136" s="27" t="s">
        <v>863</v>
      </c>
      <c r="G136" s="57" t="s">
        <v>1246</v>
      </c>
      <c r="H136" s="37"/>
      <c r="I136" s="37"/>
      <c r="J136" s="37"/>
      <c r="K136" s="37"/>
      <c r="L136" s="61"/>
      <c r="M136" s="61"/>
      <c r="N136" s="61"/>
      <c r="O136" s="61" t="s">
        <v>494</v>
      </c>
    </row>
    <row r="137" spans="1:15" x14ac:dyDescent="0.15">
      <c r="A137" s="36">
        <f t="shared" si="4"/>
        <v>135</v>
      </c>
      <c r="B137" s="30">
        <v>2019653</v>
      </c>
      <c r="C137" s="53" t="s">
        <v>163</v>
      </c>
      <c r="D137" s="18" t="s">
        <v>438</v>
      </c>
      <c r="E137" s="53" t="s">
        <v>46</v>
      </c>
      <c r="F137" s="53" t="s">
        <v>164</v>
      </c>
      <c r="G137" s="53" t="s">
        <v>1246</v>
      </c>
      <c r="H137" s="17">
        <v>42370</v>
      </c>
      <c r="I137" s="17" t="s">
        <v>903</v>
      </c>
      <c r="J137" s="17" t="s">
        <v>1142</v>
      </c>
      <c r="K137" s="17" t="s">
        <v>993</v>
      </c>
      <c r="L137" s="60"/>
      <c r="M137" s="60"/>
      <c r="N137" s="60"/>
      <c r="O137" s="60" t="s">
        <v>494</v>
      </c>
    </row>
    <row r="138" spans="1:15" x14ac:dyDescent="0.15">
      <c r="A138" s="36">
        <f t="shared" si="4"/>
        <v>136</v>
      </c>
      <c r="B138" s="30">
        <v>2017630</v>
      </c>
      <c r="C138" s="53" t="s">
        <v>148</v>
      </c>
      <c r="D138" s="18" t="s">
        <v>427</v>
      </c>
      <c r="E138" s="53" t="s">
        <v>46</v>
      </c>
      <c r="F138" s="53" t="s">
        <v>149</v>
      </c>
      <c r="G138" s="53" t="s">
        <v>1246</v>
      </c>
      <c r="H138" s="17">
        <v>40909</v>
      </c>
      <c r="I138" s="17" t="s">
        <v>285</v>
      </c>
      <c r="J138" s="17" t="s">
        <v>1115</v>
      </c>
      <c r="K138" s="17" t="s">
        <v>1114</v>
      </c>
      <c r="L138" s="60"/>
      <c r="M138" s="60"/>
      <c r="N138" s="60"/>
      <c r="O138" s="60"/>
    </row>
    <row r="139" spans="1:15" x14ac:dyDescent="0.15">
      <c r="A139" s="36">
        <f t="shared" si="4"/>
        <v>137</v>
      </c>
      <c r="B139" s="30">
        <v>2019695</v>
      </c>
      <c r="C139" s="53" t="s">
        <v>168</v>
      </c>
      <c r="D139" s="18" t="s">
        <v>442</v>
      </c>
      <c r="E139" s="53" t="s">
        <v>46</v>
      </c>
      <c r="F139" s="53" t="s">
        <v>154</v>
      </c>
      <c r="G139" s="53" t="s">
        <v>1247</v>
      </c>
      <c r="H139" s="17">
        <v>6392</v>
      </c>
      <c r="I139" s="17" t="s">
        <v>294</v>
      </c>
      <c r="J139" s="17" t="s">
        <v>1150</v>
      </c>
      <c r="K139" s="17" t="s">
        <v>1149</v>
      </c>
      <c r="L139" s="60" t="s">
        <v>1248</v>
      </c>
      <c r="M139" s="60"/>
      <c r="N139" s="60"/>
      <c r="O139" s="60"/>
    </row>
    <row r="140" spans="1:15" x14ac:dyDescent="0.15">
      <c r="A140" s="36">
        <f t="shared" si="4"/>
        <v>138</v>
      </c>
      <c r="B140" s="30">
        <v>2017685</v>
      </c>
      <c r="C140" s="53" t="s">
        <v>151</v>
      </c>
      <c r="D140" s="18" t="s">
        <v>429</v>
      </c>
      <c r="E140" s="53" t="s">
        <v>46</v>
      </c>
      <c r="F140" s="53" t="s">
        <v>152</v>
      </c>
      <c r="G140" s="53" t="s">
        <v>1246</v>
      </c>
      <c r="H140" s="17">
        <v>39479</v>
      </c>
      <c r="I140" s="17" t="s">
        <v>1271</v>
      </c>
      <c r="J140" s="17" t="s">
        <v>1121</v>
      </c>
      <c r="K140" s="17" t="s">
        <v>1120</v>
      </c>
      <c r="L140" s="60" t="s">
        <v>494</v>
      </c>
      <c r="M140" s="60" t="s">
        <v>494</v>
      </c>
      <c r="N140" s="60" t="s">
        <v>494</v>
      </c>
      <c r="O140" s="60" t="s">
        <v>494</v>
      </c>
    </row>
    <row r="141" spans="1:15" x14ac:dyDescent="0.15">
      <c r="A141" s="36">
        <f t="shared" si="4"/>
        <v>139</v>
      </c>
      <c r="B141" s="30">
        <v>2017670</v>
      </c>
      <c r="C141" s="53" t="s">
        <v>150</v>
      </c>
      <c r="D141" s="18" t="s">
        <v>428</v>
      </c>
      <c r="E141" s="53" t="s">
        <v>46</v>
      </c>
      <c r="F141" s="53" t="s">
        <v>46</v>
      </c>
      <c r="G141" s="53" t="s">
        <v>1247</v>
      </c>
      <c r="H141" s="17">
        <v>20394</v>
      </c>
      <c r="I141" s="17" t="s">
        <v>1268</v>
      </c>
      <c r="J141" s="17" t="s">
        <v>1269</v>
      </c>
      <c r="K141" s="17" t="s">
        <v>1270</v>
      </c>
      <c r="L141" s="60"/>
      <c r="M141" s="60"/>
      <c r="N141" s="60"/>
      <c r="O141" s="60"/>
    </row>
    <row r="142" spans="1:15" x14ac:dyDescent="0.15">
      <c r="A142" s="36">
        <f t="shared" si="4"/>
        <v>140</v>
      </c>
      <c r="B142" s="30">
        <v>2019655</v>
      </c>
      <c r="C142" s="53" t="s">
        <v>165</v>
      </c>
      <c r="D142" s="18" t="s">
        <v>439</v>
      </c>
      <c r="E142" s="53" t="s">
        <v>46</v>
      </c>
      <c r="F142" s="53" t="s">
        <v>154</v>
      </c>
      <c r="G142" s="53" t="s">
        <v>1247</v>
      </c>
      <c r="H142" s="17">
        <v>8249</v>
      </c>
      <c r="I142" s="17" t="s">
        <v>293</v>
      </c>
      <c r="J142" s="17" t="s">
        <v>1144</v>
      </c>
      <c r="K142" s="17" t="s">
        <v>1143</v>
      </c>
      <c r="L142" s="60" t="s">
        <v>1248</v>
      </c>
      <c r="M142" s="60" t="s">
        <v>1248</v>
      </c>
      <c r="N142" s="60" t="s">
        <v>1248</v>
      </c>
      <c r="O142" s="60" t="s">
        <v>1248</v>
      </c>
    </row>
    <row r="143" spans="1:15" x14ac:dyDescent="0.15">
      <c r="A143" s="36">
        <f t="shared" si="4"/>
        <v>141</v>
      </c>
      <c r="B143" s="30">
        <v>2008628</v>
      </c>
      <c r="C143" s="53" t="s">
        <v>862</v>
      </c>
      <c r="D143" s="18" t="s">
        <v>372</v>
      </c>
      <c r="E143" s="53" t="s">
        <v>46</v>
      </c>
      <c r="F143" s="53" t="s">
        <v>863</v>
      </c>
      <c r="G143" s="53" t="s">
        <v>1246</v>
      </c>
      <c r="H143" s="17">
        <v>43083</v>
      </c>
      <c r="I143" s="17" t="s">
        <v>864</v>
      </c>
      <c r="J143" s="17" t="s">
        <v>1002</v>
      </c>
      <c r="K143" s="17" t="s">
        <v>1001</v>
      </c>
      <c r="L143" s="60"/>
      <c r="M143" s="60"/>
      <c r="N143" s="60"/>
      <c r="O143" s="60"/>
    </row>
    <row r="144" spans="1:15" x14ac:dyDescent="0.15">
      <c r="A144" s="36">
        <f t="shared" si="4"/>
        <v>142</v>
      </c>
      <c r="B144" s="66">
        <v>2009620</v>
      </c>
      <c r="C144" s="53" t="s">
        <v>91</v>
      </c>
      <c r="D144" s="70" t="s">
        <v>382</v>
      </c>
      <c r="E144" s="53" t="s">
        <v>46</v>
      </c>
      <c r="F144" s="53" t="s">
        <v>46</v>
      </c>
      <c r="G144" s="53" t="s">
        <v>1247</v>
      </c>
      <c r="H144" s="45">
        <v>8767</v>
      </c>
      <c r="I144" s="17" t="s">
        <v>249</v>
      </c>
      <c r="J144" s="17" t="s">
        <v>1021</v>
      </c>
      <c r="K144" s="17" t="s">
        <v>1020</v>
      </c>
      <c r="L144" s="60" t="s">
        <v>1248</v>
      </c>
      <c r="M144" s="60" t="s">
        <v>1248</v>
      </c>
      <c r="N144" s="60" t="s">
        <v>1248</v>
      </c>
      <c r="O144" s="60" t="s">
        <v>1248</v>
      </c>
    </row>
    <row r="145" spans="1:15" x14ac:dyDescent="0.15">
      <c r="A145" s="36">
        <f t="shared" si="4"/>
        <v>143</v>
      </c>
      <c r="B145" s="30">
        <v>2009618</v>
      </c>
      <c r="C145" s="53" t="s">
        <v>872</v>
      </c>
      <c r="D145" s="18" t="s">
        <v>381</v>
      </c>
      <c r="E145" s="53" t="s">
        <v>46</v>
      </c>
      <c r="F145" s="53" t="s">
        <v>46</v>
      </c>
      <c r="G145" s="53" t="s">
        <v>1247</v>
      </c>
      <c r="H145" s="17">
        <v>40329</v>
      </c>
      <c r="I145" s="17" t="s">
        <v>873</v>
      </c>
      <c r="J145" s="17" t="s">
        <v>1018</v>
      </c>
      <c r="K145" s="17" t="s">
        <v>1019</v>
      </c>
      <c r="L145" s="60"/>
      <c r="M145" s="60"/>
      <c r="N145" s="60"/>
      <c r="O145" s="60"/>
    </row>
    <row r="146" spans="1:15" x14ac:dyDescent="0.15">
      <c r="A146" s="36">
        <f t="shared" si="4"/>
        <v>144</v>
      </c>
      <c r="B146" s="30">
        <v>2008631</v>
      </c>
      <c r="C146" s="53" t="s">
        <v>867</v>
      </c>
      <c r="D146" s="18" t="s">
        <v>374</v>
      </c>
      <c r="E146" s="53" t="s">
        <v>46</v>
      </c>
      <c r="F146" s="53" t="s">
        <v>868</v>
      </c>
      <c r="G146" s="53" t="s">
        <v>1246</v>
      </c>
      <c r="H146" s="17">
        <v>40909</v>
      </c>
      <c r="I146" s="17" t="s">
        <v>869</v>
      </c>
      <c r="J146" s="17" t="s">
        <v>1006</v>
      </c>
      <c r="K146" s="17" t="s">
        <v>1005</v>
      </c>
      <c r="L146" s="60" t="s">
        <v>494</v>
      </c>
      <c r="M146" s="60" t="s">
        <v>494</v>
      </c>
      <c r="N146" s="60" t="s">
        <v>494</v>
      </c>
      <c r="O146" s="60" t="s">
        <v>494</v>
      </c>
    </row>
    <row r="147" spans="1:15" x14ac:dyDescent="0.15">
      <c r="A147" s="36">
        <f t="shared" si="4"/>
        <v>145</v>
      </c>
      <c r="B147" s="30">
        <v>2008665</v>
      </c>
      <c r="C147" s="53" t="s">
        <v>89</v>
      </c>
      <c r="D147" s="18" t="s">
        <v>379</v>
      </c>
      <c r="E147" s="53" t="s">
        <v>46</v>
      </c>
      <c r="F147" s="53" t="s">
        <v>83</v>
      </c>
      <c r="G147" s="53" t="s">
        <v>1246</v>
      </c>
      <c r="H147" s="17">
        <v>42370</v>
      </c>
      <c r="I147" s="17" t="s">
        <v>248</v>
      </c>
      <c r="J147" s="17" t="s">
        <v>1016</v>
      </c>
      <c r="K147" s="17" t="s">
        <v>1015</v>
      </c>
      <c r="L147" s="60"/>
      <c r="M147" s="60" t="s">
        <v>494</v>
      </c>
      <c r="N147" s="60" t="s">
        <v>494</v>
      </c>
      <c r="O147" s="60" t="s">
        <v>494</v>
      </c>
    </row>
    <row r="148" spans="1:15" x14ac:dyDescent="0.15">
      <c r="A148" s="36">
        <f t="shared" si="4"/>
        <v>146</v>
      </c>
      <c r="B148" s="30">
        <v>2008632</v>
      </c>
      <c r="C148" s="53" t="s">
        <v>870</v>
      </c>
      <c r="D148" s="18" t="s">
        <v>375</v>
      </c>
      <c r="E148" s="53" t="s">
        <v>46</v>
      </c>
      <c r="F148" s="53" t="s">
        <v>83</v>
      </c>
      <c r="G148" s="53" t="s">
        <v>1246</v>
      </c>
      <c r="H148" s="17">
        <v>40179</v>
      </c>
      <c r="I148" s="17" t="s">
        <v>871</v>
      </c>
      <c r="J148" s="17" t="s">
        <v>1008</v>
      </c>
      <c r="K148" s="17" t="s">
        <v>1007</v>
      </c>
      <c r="L148" s="60"/>
      <c r="M148" s="60" t="s">
        <v>494</v>
      </c>
      <c r="N148" s="60" t="s">
        <v>494</v>
      </c>
      <c r="O148" s="60"/>
    </row>
    <row r="149" spans="1:15" x14ac:dyDescent="0.15">
      <c r="A149" s="36">
        <f t="shared" si="4"/>
        <v>147</v>
      </c>
      <c r="B149" s="30">
        <v>2008690</v>
      </c>
      <c r="C149" s="53" t="s">
        <v>90</v>
      </c>
      <c r="D149" s="18" t="s">
        <v>380</v>
      </c>
      <c r="E149" s="53" t="s">
        <v>46</v>
      </c>
      <c r="F149" s="53" t="s">
        <v>83</v>
      </c>
      <c r="G149" s="53" t="s">
        <v>1246</v>
      </c>
      <c r="H149" s="17">
        <v>24077</v>
      </c>
      <c r="I149" s="17" t="s">
        <v>511</v>
      </c>
      <c r="J149" s="17" t="s">
        <v>1018</v>
      </c>
      <c r="K149" s="17" t="s">
        <v>1017</v>
      </c>
      <c r="L149" s="60" t="s">
        <v>494</v>
      </c>
      <c r="M149" s="60" t="s">
        <v>494</v>
      </c>
      <c r="N149" s="60" t="s">
        <v>494</v>
      </c>
      <c r="O149" s="60"/>
    </row>
    <row r="150" spans="1:15" x14ac:dyDescent="0.15">
      <c r="A150" s="36">
        <f t="shared" si="4"/>
        <v>148</v>
      </c>
      <c r="B150" s="30">
        <v>2008690</v>
      </c>
      <c r="C150" s="53" t="s">
        <v>1299</v>
      </c>
      <c r="D150" s="18" t="s">
        <v>1414</v>
      </c>
      <c r="E150" s="27" t="s">
        <v>46</v>
      </c>
      <c r="F150" s="27" t="s">
        <v>83</v>
      </c>
      <c r="G150" s="57" t="s">
        <v>1246</v>
      </c>
      <c r="H150" s="37"/>
      <c r="I150" s="37"/>
      <c r="J150" s="37"/>
      <c r="K150" s="37"/>
      <c r="L150" s="61"/>
      <c r="M150" s="61"/>
      <c r="N150" s="61"/>
      <c r="O150" s="61" t="s">
        <v>494</v>
      </c>
    </row>
    <row r="151" spans="1:15" x14ac:dyDescent="0.15">
      <c r="A151" s="36">
        <f t="shared" si="4"/>
        <v>149</v>
      </c>
      <c r="B151" s="34">
        <v>2008633</v>
      </c>
      <c r="C151" s="53"/>
      <c r="D151" s="18" t="s">
        <v>1411</v>
      </c>
      <c r="E151" s="53" t="s">
        <v>46</v>
      </c>
      <c r="F151" s="53" t="s">
        <v>83</v>
      </c>
      <c r="G151" s="53" t="s">
        <v>1246</v>
      </c>
      <c r="H151" s="17">
        <v>44470</v>
      </c>
      <c r="I151" s="27" t="s">
        <v>1346</v>
      </c>
      <c r="J151" s="17" t="s">
        <v>1417</v>
      </c>
      <c r="K151" s="17" t="s">
        <v>1418</v>
      </c>
      <c r="L151" s="60"/>
      <c r="M151" s="60"/>
      <c r="N151" s="60"/>
      <c r="O151" s="60" t="s">
        <v>494</v>
      </c>
    </row>
    <row r="152" spans="1:15" x14ac:dyDescent="0.15">
      <c r="A152" s="36">
        <f t="shared" si="4"/>
        <v>150</v>
      </c>
      <c r="B152" s="30">
        <v>2003690</v>
      </c>
      <c r="C152" s="53" t="s">
        <v>63</v>
      </c>
      <c r="D152" s="18" t="s">
        <v>351</v>
      </c>
      <c r="E152" s="53" t="s">
        <v>46</v>
      </c>
      <c r="F152" s="53" t="s">
        <v>46</v>
      </c>
      <c r="G152" s="53" t="s">
        <v>1247</v>
      </c>
      <c r="H152" s="17">
        <v>32143</v>
      </c>
      <c r="I152" s="17" t="s">
        <v>1249</v>
      </c>
      <c r="J152" s="17" t="s">
        <v>956</v>
      </c>
      <c r="K152" s="17" t="s">
        <v>955</v>
      </c>
      <c r="L152" s="60"/>
      <c r="M152" s="60"/>
      <c r="N152" s="60"/>
      <c r="O152" s="60"/>
    </row>
    <row r="153" spans="1:15" x14ac:dyDescent="0.15">
      <c r="A153" s="36">
        <f t="shared" si="4"/>
        <v>151</v>
      </c>
      <c r="B153" s="30">
        <v>2019635</v>
      </c>
      <c r="C153" s="53" t="s">
        <v>160</v>
      </c>
      <c r="D153" s="18" t="s">
        <v>435</v>
      </c>
      <c r="E153" s="53" t="s">
        <v>46</v>
      </c>
      <c r="F153" s="53" t="s">
        <v>154</v>
      </c>
      <c r="G153" s="53" t="s">
        <v>1247</v>
      </c>
      <c r="H153" s="17">
        <v>39108</v>
      </c>
      <c r="I153" s="17" t="s">
        <v>290</v>
      </c>
      <c r="J153" s="17" t="s">
        <v>1137</v>
      </c>
      <c r="K153" s="17" t="s">
        <v>1136</v>
      </c>
      <c r="L153" s="60"/>
      <c r="M153" s="60"/>
      <c r="N153" s="60"/>
      <c r="O153" s="60"/>
    </row>
    <row r="154" spans="1:15" x14ac:dyDescent="0.15">
      <c r="A154" s="36">
        <f t="shared" si="4"/>
        <v>152</v>
      </c>
      <c r="B154" s="30">
        <v>2019625</v>
      </c>
      <c r="C154" s="53" t="s">
        <v>901</v>
      </c>
      <c r="D154" s="18" t="s">
        <v>434</v>
      </c>
      <c r="E154" s="53" t="s">
        <v>46</v>
      </c>
      <c r="F154" s="53" t="s">
        <v>158</v>
      </c>
      <c r="G154" s="53" t="s">
        <v>1246</v>
      </c>
      <c r="H154" s="17">
        <v>42736</v>
      </c>
      <c r="I154" s="17" t="s">
        <v>902</v>
      </c>
      <c r="J154" s="17" t="s">
        <v>1135</v>
      </c>
      <c r="K154" s="17" t="s">
        <v>1134</v>
      </c>
      <c r="L154" s="60" t="s">
        <v>494</v>
      </c>
      <c r="M154" s="60" t="s">
        <v>494</v>
      </c>
      <c r="N154" s="60" t="s">
        <v>494</v>
      </c>
      <c r="O154" s="60" t="s">
        <v>494</v>
      </c>
    </row>
    <row r="155" spans="1:15" x14ac:dyDescent="0.15">
      <c r="A155" s="36">
        <f t="shared" si="4"/>
        <v>153</v>
      </c>
      <c r="B155" s="30">
        <v>2019640</v>
      </c>
      <c r="C155" s="53" t="s">
        <v>161</v>
      </c>
      <c r="D155" s="18" t="s">
        <v>436</v>
      </c>
      <c r="E155" s="53" t="s">
        <v>46</v>
      </c>
      <c r="F155" s="53" t="s">
        <v>154</v>
      </c>
      <c r="G155" s="53" t="s">
        <v>1247</v>
      </c>
      <c r="H155" s="17">
        <v>40179</v>
      </c>
      <c r="I155" s="17" t="s">
        <v>291</v>
      </c>
      <c r="J155" s="17" t="s">
        <v>1139</v>
      </c>
      <c r="K155" s="17" t="s">
        <v>1138</v>
      </c>
      <c r="L155" s="60" t="s">
        <v>494</v>
      </c>
      <c r="M155" s="60" t="s">
        <v>494</v>
      </c>
      <c r="N155" s="60" t="s">
        <v>494</v>
      </c>
      <c r="O155" s="60" t="s">
        <v>494</v>
      </c>
    </row>
    <row r="156" spans="1:15" x14ac:dyDescent="0.15">
      <c r="A156" s="36">
        <f t="shared" si="4"/>
        <v>154</v>
      </c>
      <c r="B156" s="30">
        <v>2019647</v>
      </c>
      <c r="C156" s="53" t="s">
        <v>162</v>
      </c>
      <c r="D156" s="18" t="s">
        <v>437</v>
      </c>
      <c r="E156" s="53" t="s">
        <v>46</v>
      </c>
      <c r="F156" s="53" t="s">
        <v>154</v>
      </c>
      <c r="G156" s="53" t="s">
        <v>1247</v>
      </c>
      <c r="H156" s="17">
        <v>41275</v>
      </c>
      <c r="I156" s="17" t="s">
        <v>292</v>
      </c>
      <c r="J156" s="17" t="s">
        <v>1141</v>
      </c>
      <c r="K156" s="17" t="s">
        <v>1140</v>
      </c>
      <c r="L156" s="60"/>
      <c r="M156" s="60"/>
      <c r="N156" s="60" t="s">
        <v>494</v>
      </c>
      <c r="O156" s="60" t="s">
        <v>494</v>
      </c>
    </row>
    <row r="157" spans="1:15" x14ac:dyDescent="0.15">
      <c r="A157" s="36">
        <f t="shared" si="4"/>
        <v>155</v>
      </c>
      <c r="B157" s="30">
        <v>2020605</v>
      </c>
      <c r="C157" s="53" t="s">
        <v>171</v>
      </c>
      <c r="D157" s="18" t="s">
        <v>444</v>
      </c>
      <c r="E157" s="53" t="s">
        <v>46</v>
      </c>
      <c r="F157" s="53" t="s">
        <v>172</v>
      </c>
      <c r="G157" s="53" t="s">
        <v>1246</v>
      </c>
      <c r="H157" s="17">
        <v>39479</v>
      </c>
      <c r="I157" s="17" t="s">
        <v>296</v>
      </c>
      <c r="J157" s="17" t="s">
        <v>1154</v>
      </c>
      <c r="K157" s="17" t="s">
        <v>1153</v>
      </c>
      <c r="L157" s="60"/>
      <c r="M157" s="60"/>
      <c r="N157" s="60"/>
      <c r="O157" s="60"/>
    </row>
    <row r="158" spans="1:15" x14ac:dyDescent="0.15">
      <c r="A158" s="36">
        <f t="shared" si="4"/>
        <v>156</v>
      </c>
      <c r="B158" s="30">
        <v>2017640</v>
      </c>
      <c r="C158" s="53"/>
      <c r="D158" s="18" t="s">
        <v>491</v>
      </c>
      <c r="E158" s="53" t="s">
        <v>46</v>
      </c>
      <c r="F158" s="53" t="s">
        <v>894</v>
      </c>
      <c r="G158" s="53" t="s">
        <v>1246</v>
      </c>
      <c r="H158" s="17">
        <v>43446</v>
      </c>
      <c r="I158" s="17" t="s">
        <v>510</v>
      </c>
      <c r="J158" s="17" t="s">
        <v>1117</v>
      </c>
      <c r="K158" s="17" t="s">
        <v>1116</v>
      </c>
      <c r="L158" s="60"/>
      <c r="M158" s="60"/>
      <c r="N158" s="60"/>
      <c r="O158" s="60"/>
    </row>
    <row r="159" spans="1:15" x14ac:dyDescent="0.15">
      <c r="A159" s="36">
        <f t="shared" si="4"/>
        <v>157</v>
      </c>
      <c r="B159" s="30">
        <v>2020647</v>
      </c>
      <c r="C159" s="53" t="s">
        <v>907</v>
      </c>
      <c r="D159" s="18" t="s">
        <v>447</v>
      </c>
      <c r="E159" s="53" t="s">
        <v>46</v>
      </c>
      <c r="F159" s="53" t="s">
        <v>46</v>
      </c>
      <c r="G159" s="53" t="s">
        <v>1247</v>
      </c>
      <c r="H159" s="17">
        <v>40935</v>
      </c>
      <c r="I159" s="17" t="s">
        <v>906</v>
      </c>
      <c r="J159" s="17" t="s">
        <v>515</v>
      </c>
      <c r="K159" s="17" t="s">
        <v>1158</v>
      </c>
      <c r="L159" s="60"/>
      <c r="M159" s="60"/>
      <c r="N159" s="60"/>
      <c r="O159" s="60"/>
    </row>
    <row r="160" spans="1:15" x14ac:dyDescent="0.15">
      <c r="A160" s="36">
        <f t="shared" si="4"/>
        <v>158</v>
      </c>
      <c r="B160" s="30">
        <v>2020650</v>
      </c>
      <c r="C160" s="53" t="s">
        <v>177</v>
      </c>
      <c r="D160" s="18" t="s">
        <v>449</v>
      </c>
      <c r="E160" s="53" t="s">
        <v>46</v>
      </c>
      <c r="F160" s="53" t="s">
        <v>46</v>
      </c>
      <c r="G160" s="53" t="s">
        <v>1247</v>
      </c>
      <c r="H160" s="17">
        <v>20363</v>
      </c>
      <c r="I160" s="17" t="s">
        <v>299</v>
      </c>
      <c r="J160" s="17" t="s">
        <v>1161</v>
      </c>
      <c r="K160" s="17" t="s">
        <v>961</v>
      </c>
      <c r="L160" s="60" t="s">
        <v>1248</v>
      </c>
      <c r="M160" s="60" t="s">
        <v>1248</v>
      </c>
      <c r="N160" s="60" t="s">
        <v>1248</v>
      </c>
      <c r="O160" s="60" t="s">
        <v>1248</v>
      </c>
    </row>
    <row r="161" spans="1:15" x14ac:dyDescent="0.15">
      <c r="A161" s="36">
        <f t="shared" si="4"/>
        <v>159</v>
      </c>
      <c r="B161" s="30">
        <v>2020675</v>
      </c>
      <c r="C161" s="53" t="s">
        <v>179</v>
      </c>
      <c r="D161" s="18" t="s">
        <v>451</v>
      </c>
      <c r="E161" s="53" t="s">
        <v>46</v>
      </c>
      <c r="F161" s="53" t="s">
        <v>46</v>
      </c>
      <c r="G161" s="53" t="s">
        <v>1247</v>
      </c>
      <c r="H161" s="17">
        <v>8798</v>
      </c>
      <c r="I161" s="17" t="s">
        <v>301</v>
      </c>
      <c r="J161" s="17" t="s">
        <v>1165</v>
      </c>
      <c r="K161" s="17" t="s">
        <v>1164</v>
      </c>
      <c r="L161" s="60"/>
      <c r="M161" s="60"/>
      <c r="N161" s="60"/>
      <c r="O161" s="60"/>
    </row>
    <row r="162" spans="1:15" x14ac:dyDescent="0.15">
      <c r="A162" s="36">
        <f t="shared" ref="A162:A183" si="5">ROW()-2</f>
        <v>160</v>
      </c>
      <c r="B162" s="32">
        <v>2021640</v>
      </c>
      <c r="C162" s="53" t="s">
        <v>183</v>
      </c>
      <c r="D162" s="18" t="s">
        <v>454</v>
      </c>
      <c r="E162" s="53" t="s">
        <v>46</v>
      </c>
      <c r="F162" s="53" t="s">
        <v>170</v>
      </c>
      <c r="G162" s="53" t="s">
        <v>1246</v>
      </c>
      <c r="H162" s="17">
        <v>22828</v>
      </c>
      <c r="I162" s="17" t="s">
        <v>303</v>
      </c>
      <c r="J162" s="17" t="s">
        <v>1171</v>
      </c>
      <c r="K162" s="17" t="s">
        <v>1170</v>
      </c>
      <c r="L162" s="60"/>
      <c r="M162" s="60"/>
      <c r="N162" s="60"/>
      <c r="O162" s="60"/>
    </row>
    <row r="163" spans="1:15" x14ac:dyDescent="0.15">
      <c r="A163" s="36">
        <f t="shared" si="5"/>
        <v>161</v>
      </c>
      <c r="B163" s="30">
        <v>2011648</v>
      </c>
      <c r="C163" s="53" t="s">
        <v>878</v>
      </c>
      <c r="D163" s="18" t="s">
        <v>390</v>
      </c>
      <c r="E163" s="53" t="s">
        <v>46</v>
      </c>
      <c r="F163" s="53" t="s">
        <v>46</v>
      </c>
      <c r="G163" s="53" t="s">
        <v>1247</v>
      </c>
      <c r="H163" s="17">
        <v>40329</v>
      </c>
      <c r="I163" s="17" t="s">
        <v>879</v>
      </c>
      <c r="J163" s="17" t="s">
        <v>1040</v>
      </c>
      <c r="K163" s="17" t="s">
        <v>1039</v>
      </c>
      <c r="L163" s="60"/>
      <c r="M163" s="60"/>
      <c r="N163" s="60"/>
      <c r="O163" s="60"/>
    </row>
    <row r="164" spans="1:15" x14ac:dyDescent="0.15">
      <c r="A164" s="36">
        <f t="shared" si="5"/>
        <v>162</v>
      </c>
      <c r="B164" s="30">
        <v>2011649</v>
      </c>
      <c r="C164" s="53" t="s">
        <v>332</v>
      </c>
      <c r="D164" s="18" t="s">
        <v>391</v>
      </c>
      <c r="E164" s="53" t="s">
        <v>46</v>
      </c>
      <c r="F164" s="53" t="s">
        <v>46</v>
      </c>
      <c r="G164" s="53" t="s">
        <v>1247</v>
      </c>
      <c r="H164" s="17">
        <v>40695</v>
      </c>
      <c r="I164" s="17" t="s">
        <v>880</v>
      </c>
      <c r="J164" s="17" t="s">
        <v>1042</v>
      </c>
      <c r="K164" s="17" t="s">
        <v>1041</v>
      </c>
      <c r="L164" s="60"/>
      <c r="M164" s="60"/>
      <c r="N164" s="60"/>
      <c r="O164" s="60"/>
    </row>
    <row r="165" spans="1:15" x14ac:dyDescent="0.15">
      <c r="A165" s="36">
        <f t="shared" si="5"/>
        <v>163</v>
      </c>
      <c r="B165" s="30">
        <v>2011650</v>
      </c>
      <c r="C165" s="53" t="s">
        <v>103</v>
      </c>
      <c r="D165" s="18" t="s">
        <v>392</v>
      </c>
      <c r="E165" s="53" t="s">
        <v>46</v>
      </c>
      <c r="F165" s="53" t="s">
        <v>46</v>
      </c>
      <c r="G165" s="53" t="s">
        <v>1247</v>
      </c>
      <c r="H165" s="17">
        <v>8858</v>
      </c>
      <c r="I165" s="17" t="s">
        <v>255</v>
      </c>
      <c r="J165" s="17" t="s">
        <v>1044</v>
      </c>
      <c r="K165" s="17" t="s">
        <v>1043</v>
      </c>
      <c r="L165" s="60" t="s">
        <v>1248</v>
      </c>
      <c r="M165" s="60" t="s">
        <v>1248</v>
      </c>
      <c r="N165" s="60" t="s">
        <v>1248</v>
      </c>
      <c r="O165" s="60" t="s">
        <v>1248</v>
      </c>
    </row>
    <row r="166" spans="1:15" x14ac:dyDescent="0.15">
      <c r="A166" s="36">
        <f t="shared" si="5"/>
        <v>164</v>
      </c>
      <c r="B166" s="29">
        <v>2001610</v>
      </c>
      <c r="C166" s="53" t="s">
        <v>45</v>
      </c>
      <c r="D166" s="16" t="s">
        <v>342</v>
      </c>
      <c r="E166" s="53" t="s">
        <v>46</v>
      </c>
      <c r="F166" s="53" t="s">
        <v>47</v>
      </c>
      <c r="G166" s="53" t="s">
        <v>1246</v>
      </c>
      <c r="H166" s="17">
        <v>40179</v>
      </c>
      <c r="I166" s="17" t="s">
        <v>837</v>
      </c>
      <c r="J166" s="17" t="s">
        <v>934</v>
      </c>
      <c r="K166" s="17" t="s">
        <v>933</v>
      </c>
      <c r="L166" s="60" t="s">
        <v>494</v>
      </c>
      <c r="M166" s="60" t="s">
        <v>494</v>
      </c>
      <c r="N166" s="60" t="s">
        <v>494</v>
      </c>
      <c r="O166" s="60" t="s">
        <v>494</v>
      </c>
    </row>
    <row r="167" spans="1:15" x14ac:dyDescent="0.15">
      <c r="A167" s="36">
        <f t="shared" si="5"/>
        <v>165</v>
      </c>
      <c r="B167" s="67"/>
      <c r="C167" s="37"/>
      <c r="D167" s="18" t="s">
        <v>1464</v>
      </c>
      <c r="E167" s="37"/>
      <c r="F167" s="37"/>
      <c r="G167" s="37"/>
      <c r="H167" s="37"/>
      <c r="I167" s="37"/>
      <c r="J167" s="37"/>
      <c r="K167" s="37"/>
    </row>
    <row r="168" spans="1:15" x14ac:dyDescent="0.15">
      <c r="A168" s="36">
        <f t="shared" si="5"/>
        <v>166</v>
      </c>
      <c r="B168" s="30">
        <v>2101690</v>
      </c>
      <c r="C168" s="53" t="s">
        <v>212</v>
      </c>
      <c r="D168" s="18" t="s">
        <v>474</v>
      </c>
      <c r="E168" s="53" t="s">
        <v>202</v>
      </c>
      <c r="F168" s="53" t="s">
        <v>202</v>
      </c>
      <c r="G168" s="53" t="s">
        <v>1247</v>
      </c>
      <c r="H168" s="17">
        <v>10228</v>
      </c>
      <c r="I168" s="17" t="s">
        <v>322</v>
      </c>
      <c r="J168" s="17" t="s">
        <v>1212</v>
      </c>
      <c r="K168" s="17" t="s">
        <v>1211</v>
      </c>
      <c r="L168" s="60" t="s">
        <v>1248</v>
      </c>
      <c r="M168" s="60" t="s">
        <v>1248</v>
      </c>
      <c r="N168" s="60" t="s">
        <v>1248</v>
      </c>
      <c r="O168" s="60" t="s">
        <v>1248</v>
      </c>
    </row>
    <row r="169" spans="1:15" x14ac:dyDescent="0.15">
      <c r="A169" s="36">
        <f t="shared" si="5"/>
        <v>167</v>
      </c>
      <c r="B169" s="30">
        <v>2020615</v>
      </c>
      <c r="C169" s="53" t="s">
        <v>173</v>
      </c>
      <c r="D169" s="18" t="s">
        <v>445</v>
      </c>
      <c r="E169" s="53" t="s">
        <v>46</v>
      </c>
      <c r="F169" s="53" t="s">
        <v>46</v>
      </c>
      <c r="G169" s="53" t="s">
        <v>1247</v>
      </c>
      <c r="H169" s="17">
        <v>7884</v>
      </c>
      <c r="I169" s="17" t="s">
        <v>297</v>
      </c>
      <c r="J169" s="17" t="s">
        <v>1155</v>
      </c>
      <c r="K169" s="17" t="s">
        <v>174</v>
      </c>
      <c r="L169" s="60" t="s">
        <v>1248</v>
      </c>
      <c r="M169" s="60" t="s">
        <v>1248</v>
      </c>
      <c r="N169" s="60" t="s">
        <v>1248</v>
      </c>
      <c r="O169" s="60" t="s">
        <v>1248</v>
      </c>
    </row>
    <row r="170" spans="1:15" x14ac:dyDescent="0.15">
      <c r="A170" s="36">
        <f t="shared" si="5"/>
        <v>168</v>
      </c>
      <c r="B170" s="30">
        <v>2019685</v>
      </c>
      <c r="C170" s="53" t="s">
        <v>904</v>
      </c>
      <c r="D170" s="18" t="s">
        <v>441</v>
      </c>
      <c r="E170" s="53" t="s">
        <v>46</v>
      </c>
      <c r="F170" s="53" t="s">
        <v>167</v>
      </c>
      <c r="G170" s="53" t="s">
        <v>1246</v>
      </c>
      <c r="H170" s="17">
        <v>42736</v>
      </c>
      <c r="I170" s="17" t="s">
        <v>1275</v>
      </c>
      <c r="J170" s="17" t="s">
        <v>1148</v>
      </c>
      <c r="K170" s="17" t="s">
        <v>1147</v>
      </c>
      <c r="L170" s="60"/>
      <c r="M170" s="60" t="s">
        <v>494</v>
      </c>
      <c r="N170" s="60" t="s">
        <v>494</v>
      </c>
      <c r="O170" s="60" t="s">
        <v>494</v>
      </c>
    </row>
    <row r="171" spans="1:15" x14ac:dyDescent="0.15">
      <c r="A171" s="36">
        <f t="shared" si="5"/>
        <v>169</v>
      </c>
      <c r="B171" s="30">
        <v>2019680</v>
      </c>
      <c r="C171" s="53" t="s">
        <v>166</v>
      </c>
      <c r="D171" s="18" t="s">
        <v>440</v>
      </c>
      <c r="E171" s="53" t="s">
        <v>46</v>
      </c>
      <c r="F171" s="53" t="s">
        <v>167</v>
      </c>
      <c r="G171" s="53" t="s">
        <v>1246</v>
      </c>
      <c r="H171" s="17">
        <v>38742</v>
      </c>
      <c r="I171" s="17" t="s">
        <v>1274</v>
      </c>
      <c r="J171" s="17" t="s">
        <v>1146</v>
      </c>
      <c r="K171" s="17" t="s">
        <v>1145</v>
      </c>
      <c r="L171" s="60"/>
      <c r="M171" s="60"/>
      <c r="N171" s="60"/>
      <c r="O171" s="60"/>
    </row>
    <row r="172" spans="1:15" x14ac:dyDescent="0.15">
      <c r="A172" s="36">
        <f t="shared" si="5"/>
        <v>170</v>
      </c>
      <c r="B172" s="30">
        <v>2020640</v>
      </c>
      <c r="C172" s="53" t="s">
        <v>175</v>
      </c>
      <c r="D172" s="18" t="s">
        <v>446</v>
      </c>
      <c r="E172" s="40" t="s">
        <v>46</v>
      </c>
      <c r="F172" s="40" t="s">
        <v>176</v>
      </c>
      <c r="G172" s="40" t="s">
        <v>1246</v>
      </c>
      <c r="H172" s="17">
        <v>39108</v>
      </c>
      <c r="I172" s="17" t="s">
        <v>298</v>
      </c>
      <c r="J172" s="17" t="s">
        <v>1157</v>
      </c>
      <c r="K172" s="17" t="s">
        <v>1156</v>
      </c>
      <c r="L172" s="60"/>
      <c r="M172" s="60"/>
      <c r="N172" s="60"/>
      <c r="O172" s="60"/>
    </row>
    <row r="173" spans="1:15" x14ac:dyDescent="0.15">
      <c r="A173" s="36">
        <f t="shared" si="5"/>
        <v>171</v>
      </c>
      <c r="B173" s="30">
        <v>2019620</v>
      </c>
      <c r="C173" s="53" t="s">
        <v>159</v>
      </c>
      <c r="D173" s="18" t="s">
        <v>899</v>
      </c>
      <c r="E173" s="40" t="s">
        <v>46</v>
      </c>
      <c r="F173" s="40" t="s">
        <v>154</v>
      </c>
      <c r="G173" s="40" t="s">
        <v>1247</v>
      </c>
      <c r="H173" s="17">
        <v>42005</v>
      </c>
      <c r="I173" s="17" t="s">
        <v>900</v>
      </c>
      <c r="J173" s="17" t="s">
        <v>1133</v>
      </c>
      <c r="K173" s="17" t="s">
        <v>1132</v>
      </c>
      <c r="L173" s="60"/>
      <c r="M173" s="60" t="s">
        <v>1248</v>
      </c>
      <c r="N173" s="60" t="s">
        <v>1248</v>
      </c>
      <c r="O173" s="60" t="s">
        <v>1248</v>
      </c>
    </row>
    <row r="174" spans="1:15" x14ac:dyDescent="0.15">
      <c r="A174" s="36">
        <f t="shared" si="5"/>
        <v>172</v>
      </c>
      <c r="B174" s="30">
        <v>2020646</v>
      </c>
      <c r="C174" s="53" t="s">
        <v>336</v>
      </c>
      <c r="D174" s="18" t="s">
        <v>448</v>
      </c>
      <c r="E174" s="40" t="s">
        <v>46</v>
      </c>
      <c r="F174" s="40" t="s">
        <v>46</v>
      </c>
      <c r="G174" s="40" t="s">
        <v>1247</v>
      </c>
      <c r="H174" s="17">
        <v>40935</v>
      </c>
      <c r="I174" s="17" t="s">
        <v>908</v>
      </c>
      <c r="J174" s="17" t="s">
        <v>1160</v>
      </c>
      <c r="K174" s="17" t="s">
        <v>1159</v>
      </c>
      <c r="L174" s="60"/>
      <c r="M174" s="60"/>
      <c r="N174" s="60"/>
      <c r="O174" s="60"/>
    </row>
    <row r="175" spans="1:15" x14ac:dyDescent="0.15">
      <c r="A175" s="36">
        <f t="shared" si="5"/>
        <v>173</v>
      </c>
      <c r="B175" s="32">
        <v>2018609</v>
      </c>
      <c r="C175" s="53" t="s">
        <v>153</v>
      </c>
      <c r="D175" s="18" t="s">
        <v>430</v>
      </c>
      <c r="E175" s="40" t="s">
        <v>46</v>
      </c>
      <c r="F175" s="40" t="s">
        <v>154</v>
      </c>
      <c r="G175" s="40" t="s">
        <v>1246</v>
      </c>
      <c r="H175" s="17">
        <v>22828</v>
      </c>
      <c r="I175" s="17" t="s">
        <v>1272</v>
      </c>
      <c r="J175" s="17" t="s">
        <v>1123</v>
      </c>
      <c r="K175" s="17" t="s">
        <v>1122</v>
      </c>
      <c r="L175" s="60"/>
      <c r="M175" s="60"/>
      <c r="N175" s="60"/>
      <c r="O175" s="60"/>
    </row>
    <row r="176" spans="1:15" x14ac:dyDescent="0.15">
      <c r="A176" s="36">
        <f t="shared" si="5"/>
        <v>174</v>
      </c>
      <c r="B176" s="30">
        <v>2013630</v>
      </c>
      <c r="C176" s="53" t="s">
        <v>131</v>
      </c>
      <c r="D176" s="18" t="s">
        <v>412</v>
      </c>
      <c r="E176" s="40" t="s">
        <v>46</v>
      </c>
      <c r="F176" s="40" t="s">
        <v>132</v>
      </c>
      <c r="G176" s="40" t="s">
        <v>1246</v>
      </c>
      <c r="H176" s="17">
        <v>42005</v>
      </c>
      <c r="I176" s="17" t="s">
        <v>273</v>
      </c>
      <c r="J176" s="17" t="s">
        <v>1083</v>
      </c>
      <c r="K176" s="17" t="s">
        <v>1082</v>
      </c>
      <c r="L176" s="60"/>
      <c r="M176" s="60"/>
      <c r="N176" s="60"/>
      <c r="O176" s="60"/>
    </row>
    <row r="177" spans="1:15" x14ac:dyDescent="0.15">
      <c r="A177" s="36">
        <f t="shared" si="5"/>
        <v>175</v>
      </c>
      <c r="B177" s="34">
        <v>2016660</v>
      </c>
      <c r="C177" s="53" t="s">
        <v>1299</v>
      </c>
      <c r="D177" s="27" t="s">
        <v>1343</v>
      </c>
      <c r="E177" s="40" t="s">
        <v>46</v>
      </c>
      <c r="F177" s="40" t="s">
        <v>1423</v>
      </c>
      <c r="G177" s="40" t="s">
        <v>1247</v>
      </c>
      <c r="H177" s="17">
        <v>44622</v>
      </c>
      <c r="I177" s="27" t="s">
        <v>1342</v>
      </c>
      <c r="J177" s="17" t="s">
        <v>1427</v>
      </c>
      <c r="K177" s="17" t="s">
        <v>1428</v>
      </c>
      <c r="L177" s="60"/>
      <c r="M177" s="60"/>
      <c r="N177" s="60"/>
      <c r="O177" s="60"/>
    </row>
    <row r="178" spans="1:15" x14ac:dyDescent="0.15">
      <c r="A178" s="36">
        <f t="shared" si="5"/>
        <v>176</v>
      </c>
      <c r="B178" s="30">
        <v>2016650</v>
      </c>
      <c r="C178" s="53" t="s">
        <v>1310</v>
      </c>
      <c r="D178" s="18" t="s">
        <v>501</v>
      </c>
      <c r="E178" s="40" t="s">
        <v>46</v>
      </c>
      <c r="F178" s="40" t="s">
        <v>145</v>
      </c>
      <c r="G178" s="40" t="s">
        <v>1247</v>
      </c>
      <c r="H178" s="17">
        <v>32051</v>
      </c>
      <c r="I178" s="17" t="s">
        <v>1266</v>
      </c>
      <c r="J178" s="17" t="s">
        <v>1110</v>
      </c>
      <c r="K178" s="17" t="s">
        <v>1109</v>
      </c>
      <c r="L178" s="60"/>
      <c r="M178" s="60" t="s">
        <v>494</v>
      </c>
      <c r="N178" s="60" t="s">
        <v>494</v>
      </c>
      <c r="O178" s="60"/>
    </row>
    <row r="179" spans="1:15" x14ac:dyDescent="0.15">
      <c r="A179" s="36">
        <f t="shared" si="5"/>
        <v>177</v>
      </c>
      <c r="B179" s="30">
        <v>2014690</v>
      </c>
      <c r="C179" s="53" t="s">
        <v>143</v>
      </c>
      <c r="D179" s="18" t="s">
        <v>422</v>
      </c>
      <c r="E179" s="40" t="s">
        <v>46</v>
      </c>
      <c r="F179" s="40" t="s">
        <v>46</v>
      </c>
      <c r="G179" s="40" t="s">
        <v>1247</v>
      </c>
      <c r="H179" s="17">
        <v>38742</v>
      </c>
      <c r="I179" s="17" t="s">
        <v>282</v>
      </c>
      <c r="J179" s="17" t="s">
        <v>1103</v>
      </c>
      <c r="K179" s="17" t="s">
        <v>1102</v>
      </c>
      <c r="L179" s="60" t="s">
        <v>1248</v>
      </c>
      <c r="M179" s="60" t="s">
        <v>1248</v>
      </c>
      <c r="N179" s="60" t="s">
        <v>1248</v>
      </c>
      <c r="O179" s="60" t="s">
        <v>1248</v>
      </c>
    </row>
    <row r="180" spans="1:15" x14ac:dyDescent="0.15">
      <c r="A180" s="36">
        <f t="shared" si="5"/>
        <v>178</v>
      </c>
      <c r="B180" s="30">
        <v>2017620</v>
      </c>
      <c r="C180" s="53" t="s">
        <v>146</v>
      </c>
      <c r="D180" s="39" t="s">
        <v>426</v>
      </c>
      <c r="E180" s="40" t="s">
        <v>46</v>
      </c>
      <c r="F180" s="40" t="s">
        <v>46</v>
      </c>
      <c r="G180" s="40" t="s">
        <v>1247</v>
      </c>
      <c r="H180" s="72">
        <v>29373</v>
      </c>
      <c r="I180" s="72" t="s">
        <v>284</v>
      </c>
      <c r="J180" s="72" t="s">
        <v>147</v>
      </c>
      <c r="K180" s="72" t="s">
        <v>1113</v>
      </c>
      <c r="L180" s="60" t="s">
        <v>1248</v>
      </c>
      <c r="M180" s="60" t="s">
        <v>1248</v>
      </c>
      <c r="N180" s="60" t="s">
        <v>1248</v>
      </c>
      <c r="O180" s="60" t="s">
        <v>1248</v>
      </c>
    </row>
    <row r="181" spans="1:15" x14ac:dyDescent="0.15">
      <c r="A181" s="36">
        <f t="shared" si="5"/>
        <v>179</v>
      </c>
      <c r="B181" s="30">
        <v>2014697</v>
      </c>
      <c r="C181" s="53" t="s">
        <v>889</v>
      </c>
      <c r="D181" s="39" t="s">
        <v>423</v>
      </c>
      <c r="E181" s="40" t="s">
        <v>46</v>
      </c>
      <c r="F181" s="40" t="s">
        <v>46</v>
      </c>
      <c r="G181" s="40" t="s">
        <v>1247</v>
      </c>
      <c r="H181" s="72">
        <v>40935</v>
      </c>
      <c r="I181" s="72" t="s">
        <v>890</v>
      </c>
      <c r="J181" s="72" t="s">
        <v>1105</v>
      </c>
      <c r="K181" s="72" t="s">
        <v>1104</v>
      </c>
      <c r="L181" s="60"/>
      <c r="M181" s="60"/>
      <c r="N181" s="60"/>
      <c r="O181" s="60"/>
    </row>
    <row r="182" spans="1:15" x14ac:dyDescent="0.15">
      <c r="A182" s="36">
        <f t="shared" si="5"/>
        <v>180</v>
      </c>
      <c r="B182" s="68">
        <v>2014699</v>
      </c>
      <c r="C182" s="69" t="s">
        <v>891</v>
      </c>
      <c r="D182" s="55" t="s">
        <v>424</v>
      </c>
      <c r="E182" s="69" t="s">
        <v>46</v>
      </c>
      <c r="F182" s="69" t="s">
        <v>46</v>
      </c>
      <c r="G182" s="69" t="s">
        <v>1247</v>
      </c>
      <c r="H182" s="60">
        <v>40935</v>
      </c>
      <c r="I182" s="60" t="s">
        <v>892</v>
      </c>
      <c r="J182" s="60" t="s">
        <v>1106</v>
      </c>
      <c r="K182" s="60" t="s">
        <v>513</v>
      </c>
      <c r="L182" s="60"/>
      <c r="M182" s="60"/>
      <c r="N182" s="60"/>
      <c r="O182" s="60"/>
    </row>
    <row r="183" spans="1:15" x14ac:dyDescent="0.15">
      <c r="A183" s="36">
        <f t="shared" si="5"/>
        <v>181</v>
      </c>
      <c r="B183" s="68">
        <v>2016680</v>
      </c>
      <c r="C183" s="69" t="s">
        <v>144</v>
      </c>
      <c r="D183" s="55" t="s">
        <v>425</v>
      </c>
      <c r="E183" s="69" t="s">
        <v>46</v>
      </c>
      <c r="F183" s="69" t="s">
        <v>145</v>
      </c>
      <c r="G183" s="69" t="s">
        <v>1247</v>
      </c>
      <c r="H183" s="60">
        <v>22828</v>
      </c>
      <c r="I183" s="60" t="s">
        <v>1267</v>
      </c>
      <c r="J183" s="60" t="s">
        <v>1112</v>
      </c>
      <c r="K183" s="60" t="s">
        <v>1111</v>
      </c>
      <c r="L183" s="60" t="s">
        <v>494</v>
      </c>
      <c r="M183" s="60" t="s">
        <v>494</v>
      </c>
      <c r="N183" s="60" t="s">
        <v>494</v>
      </c>
      <c r="O183" s="60" t="s">
        <v>494</v>
      </c>
    </row>
  </sheetData>
  <sortState ref="A2:Q184">
    <sortCondition ref="D2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수위일람표</vt:lpstr>
      <vt:lpstr>홈페이지 표출 관리</vt:lpstr>
      <vt:lpstr>수위일람표!Print_Area</vt:lpstr>
      <vt:lpstr>수위일람표!Print_Titles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박성식</dc:creator>
  <cp:lastModifiedBy>업무망</cp:lastModifiedBy>
  <cp:lastPrinted>2023-01-09T04:53:07Z</cp:lastPrinted>
  <dcterms:created xsi:type="dcterms:W3CDTF">2015-08-24T01:20:27Z</dcterms:created>
  <dcterms:modified xsi:type="dcterms:W3CDTF">2025-07-16T01:05:33Z</dcterms:modified>
</cp:coreProperties>
</file>